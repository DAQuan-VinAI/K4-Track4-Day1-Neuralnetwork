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SGD+momentum</t>
        </is>
      </c>
      <c r="F2" s="33" t="n">
        <v>0.3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2.269061489002227</v>
      </c>
      <c r="Q2" s="34" t="n">
        <v>0.2275911973251671</v>
      </c>
      <c r="R2" s="33" t="n">
        <v>19</v>
      </c>
      <c r="S2" s="34" t="n">
        <v>0.2083143734630145</v>
      </c>
      <c r="T2" s="34" t="n">
        <v>0.2352133217644962</v>
      </c>
      <c r="U2" s="34" t="n">
        <v>0.9094145995137798</v>
      </c>
      <c r="V2" s="34" t="n">
        <v>0.8539324438598926</v>
      </c>
      <c r="W2" s="33" t="n">
        <v>0.5814253125005052</v>
      </c>
      <c r="X2" s="33" t="n">
        <v>127.650390625</v>
      </c>
      <c r="Y2" s="33" t="inlineStr">
        <is>
          <t>N</t>
        </is>
      </c>
      <c r="Z2" s="34" t="n">
        <v>0.9085049439343218</v>
      </c>
      <c r="AA2" s="34" t="n">
        <v>0.8585117252140451</v>
      </c>
      <c r="AB2" s="33" t="inlineStr">
        <is>
          <t>figures/base-s1.png</t>
        </is>
      </c>
      <c r="AC2" s="33" t="inlineStr">
        <is>
          <t>lr chọn bằng val trong lưới [0.01, 0.03, 0.1, 0.3]; bước 0: std sau ReLU 1 / ReLU 2 / logits = 0.3901 / 0.3661 / 0.5773; chạy trên Apple MPS: peak_mem_MB là mức cấp phát lớn nhất đo ở cuối mỗi epoch; grad_norm trước clip: TB các epoch 0.357, bước lớn nhất 2.87</t>
        </is>
      </c>
      <c r="AD2" s="35">
        <f>IF(P2="","",P2-LN(7))</f>
        <v>0.3231513399469137</v>
      </c>
      <c r="AE2" s="35">
        <f>IF(OR(T2="",S2=""),"",T2-S2)</f>
        <v>0.02689894830148168</v>
      </c>
      <c r="AF2" s="35">
        <f>IF(OR(V2="",Seeds!$C$8=""),"",V2-Seeds!$C$8)</f>
        <v>-3.5161724980192766e-05</v>
      </c>
      <c r="AG2" s="35" t="str">
        <f>IF(OR(AF2="",Seeds!$C$10=""),"",IF(ABS(AF2)&gt;Seeds!$C$10,"Có","Không"))</f>
        <v>Không</v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SGD+momentum</t>
        </is>
      </c>
      <c r="F3" s="33" t="n">
        <v>0.3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1.978156659861691</v>
      </c>
      <c r="Q3" s="34" t="n">
        <v>0.2133476086782687</v>
      </c>
      <c r="R3" s="33" t="n">
        <v>19</v>
      </c>
      <c r="S3" s="34" t="n">
        <v>0.1872350772167383</v>
      </c>
      <c r="T3" s="34" t="n">
        <v>0.2153187575709278</v>
      </c>
      <c r="U3" s="34" t="n">
        <v>0.9160194488070394</v>
      </c>
      <c r="V3" s="34" t="n">
        <v>0.8656613273644364</v>
      </c>
      <c r="W3" s="33" t="n">
        <v>0.5775734459497471</v>
      </c>
      <c r="X3" s="33" t="n">
        <v>127.650390625</v>
      </c>
      <c r="Y3" s="33" t="inlineStr">
        <is>
          <t>N</t>
        </is>
      </c>
      <c r="Z3" s="34" t="n"/>
      <c r="AA3" s="34" t="n"/>
      <c r="AB3" s="33" t="inlineStr">
        <is>
          <t>figures/base-s2.png</t>
        </is>
      </c>
      <c r="AC3" s="33" t="inlineStr">
        <is>
          <t>chạy trên Apple MPS: peak_mem_MB là mức cấp phát lớn nhất đo ở cuối mỗi epoch; grad_norm trước clip: TB các epoch 0.346, bước lớn nhất 2.25</t>
        </is>
      </c>
      <c r="AD3" s="35">
        <f>IF(P3="","",P3-LN(7))</f>
        <v>0.03224651080637764</v>
      </c>
      <c r="AE3" s="35">
        <f>IF(OR(T3="",S3=""),"",T3-S3)</f>
        <v>0.028083680354189483</v>
      </c>
      <c r="AF3" s="35">
        <f>IF(OR(V3="",Seeds!$C$8=""),"",V3-Seeds!$C$8)</f>
        <v>0.011693721779563515</v>
      </c>
      <c r="AG3" s="35" t="str">
        <f>IF(OR(AF3="",Seeds!$C$10=""),"",IF(ABS(AF3)&gt;Seeds!$C$10,"Có","Không"))</f>
        <v>Không</v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SGD+momentum</t>
        </is>
      </c>
      <c r="F4" s="33" t="n">
        <v>0.3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1.900539895291557</v>
      </c>
      <c r="Q4" s="34" t="n">
        <v>0.2199400036796789</v>
      </c>
      <c r="R4" s="33" t="n">
        <v>20</v>
      </c>
      <c r="S4" s="34" t="n">
        <v>0.1977216006072285</v>
      </c>
      <c r="T4" s="34" t="n">
        <v>0.2199400036796789</v>
      </c>
      <c r="U4" s="34" t="n">
        <v>0.9144274004431918</v>
      </c>
      <c r="V4" s="34" t="n">
        <v>0.8423090455302896</v>
      </c>
      <c r="W4" s="33" t="n">
        <v>0.5688657230490207</v>
      </c>
      <c r="X4" s="33" t="n">
        <v>127.650390625</v>
      </c>
      <c r="Y4" s="33" t="inlineStr">
        <is>
          <t>N</t>
        </is>
      </c>
      <c r="Z4" s="34" t="n"/>
      <c r="AA4" s="34" t="n"/>
      <c r="AB4" s="33" t="inlineStr">
        <is>
          <t>figures/base-s3.png</t>
        </is>
      </c>
      <c r="AC4" s="33" t="inlineStr">
        <is>
          <t>chạy trên Apple MPS: peak_mem_MB là mức cấp phát lớn nhất đo ở cuối mỗi epoch; grad_norm trước clip: TB các epoch 0.348, bước lớn nhất 3.61</t>
        </is>
      </c>
      <c r="AD4" s="35">
        <f>IF(P4="","",P4-LN(7))</f>
        <v>-0.04537025376375592</v>
      </c>
      <c r="AE4" s="35">
        <f>IF(OR(T4="",S4=""),"",T4-S4)</f>
        <v>0.022218403072450432</v>
      </c>
      <c r="AF4" s="35">
        <f>IF(OR(V4="",Seeds!$C$8=""),"",V4-Seeds!$C$8)</f>
        <v>-0.011658560054583211</v>
      </c>
      <c r="AG4" s="35" t="str">
        <f>IF(OR(AF4="",Seeds!$C$10=""),"",IF(ABS(AF4)&gt;Seeds!$C$10,"Có","Không"))</f>
        <v>Không</v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trên logit vs one-hot (trung bình trên B×7) thay cho CE</t>
        </is>
      </c>
      <c r="D5" s="33" t="inlineStr">
        <is>
          <t>MSE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0.6358502025453181</v>
      </c>
      <c r="Q5" s="34" t="n">
        <v>0.02710273319499236</v>
      </c>
      <c r="R5" s="33" t="n">
        <v>20</v>
      </c>
      <c r="S5" s="34" t="n">
        <v>0.02606745178077814</v>
      </c>
      <c r="T5" s="34" t="n">
        <v>0.02710273319499236</v>
      </c>
      <c r="U5" s="34" t="n">
        <v>0.8825326477485425</v>
      </c>
      <c r="V5" s="34" t="n">
        <v>0.7838738630287966</v>
      </c>
      <c r="W5" s="33" t="n">
        <v>0.50640630625021</v>
      </c>
      <c r="X5" s="33" t="n">
        <v>127.65380859375</v>
      </c>
      <c r="Y5" s="33" t="inlineStr">
        <is>
          <t>N</t>
        </is>
      </c>
      <c r="Z5" s="34" t="n"/>
      <c r="AA5" s="34" t="n"/>
      <c r="AB5" s="33" t="inlineStr">
        <is>
          <t>figures/loss-mse.png</t>
        </is>
      </c>
      <c r="AC5" s="33" t="inlineStr">
        <is>
          <t>lr giữ nguyên của baseline (chỉnh cho CE), chưa chỉnh riêng cho MSE; chạy trên Apple MPS: peak_mem_MB là mức cấp phát lớn nhất đo ở cuối mỗi epoch; grad_norm trước clip: TB các epoch 0.068, bước lớn nhất 2.28</t>
        </is>
      </c>
      <c r="AD5" s="35">
        <f>IF(P5="","",P5-LN(7))</f>
        <v>-1.3100599465099951</v>
      </c>
      <c r="AE5" s="35">
        <f>IF(OR(T5="",S5=""),"",T5-S5)</f>
        <v>0.0010352814142142175</v>
      </c>
      <c r="AF5" s="35">
        <f>IF(OR(V5="",Seeds!$C$8=""),"",V5-Seeds!$C$8)</f>
        <v>-0.07009374255607626</v>
      </c>
      <c r="AG5" s="35" t="str">
        <f>IF(OR(AF5="",Seeds!$C$10=""),"",IF(ABS(AF5)&gt;Seeds!$C$10,"Có","Không"))</f>
        <v>Có</v>
      </c>
    </row>
    <row r="6" ht="15" customHeight="1" s="20">
      <c r="A6" s="33" t="inlineStr">
        <is>
          <t>opt-sgd-lr0.03</t>
        </is>
      </c>
      <c r="B6" s="33" t="inlineStr">
        <is>
          <t>optimizer</t>
        </is>
      </c>
      <c r="C6" s="33" t="inlineStr">
        <is>
          <t>sgd lr=0.03</t>
        </is>
      </c>
      <c r="D6" s="33" t="inlineStr">
        <is>
          <t>CE</t>
        </is>
      </c>
      <c r="E6" s="33" t="inlineStr">
        <is>
          <t>SGD</t>
        </is>
      </c>
      <c r="F6" s="33" t="n">
        <v>0.03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2.269061489002227</v>
      </c>
      <c r="Q6" s="34" t="n">
        <v>0.4307616956390783</v>
      </c>
      <c r="R6" s="33" t="n">
        <v>18</v>
      </c>
      <c r="S6" s="34" t="n">
        <v>0.427031879222797</v>
      </c>
      <c r="T6" s="34" t="n">
        <v>0.4333678276095004</v>
      </c>
      <c r="U6" s="34" t="n">
        <v>0.8202921623889331</v>
      </c>
      <c r="V6" s="34" t="n">
        <v>0.6646410178075417</v>
      </c>
      <c r="W6" s="33" t="n">
        <v>0.5724452812002709</v>
      </c>
      <c r="X6" s="33" t="n">
        <v>127.467529296875</v>
      </c>
      <c r="Y6" s="33" t="inlineStr">
        <is>
          <t>N</t>
        </is>
      </c>
      <c r="Z6" s="34" t="n"/>
      <c r="AA6" s="34" t="n"/>
      <c r="AB6" s="33" t="inlineStr">
        <is>
          <t>figures/opt-sgd-lr0.03.png</t>
        </is>
      </c>
      <c r="AC6" s="33" t="inlineStr">
        <is>
          <t>đổi bộ tối ưu và lr (mỗi bộ thử 3 lr, so ở lr tốt nhất); chạy trên Apple MPS: peak_mem_MB là mức cấp phát lớn nhất đo ở cuối mỗi epoch; grad_norm trước clip: TB các epoch 0.765, bước lớn nhất 4.01</t>
        </is>
      </c>
      <c r="AD6" s="35">
        <f>IF(P6="","",P6-LN(7))</f>
        <v>0.3231513399469137</v>
      </c>
      <c r="AE6" s="35">
        <f>IF(OR(T6="",S6=""),"",T6-S6)</f>
        <v>0.006335948386703427</v>
      </c>
      <c r="AF6" s="35">
        <f>IF(OR(V6="",Seeds!$C$8=""),"",V6-Seeds!$C$8)</f>
        <v>-0.18932658777733113</v>
      </c>
      <c r="AG6" s="35" t="str">
        <f>IF(OR(AF6="",Seeds!$C$10=""),"",IF(ABS(AF6)&gt;Seeds!$C$10,"Có","Không"))</f>
        <v>Có</v>
      </c>
    </row>
    <row r="7" ht="15" customHeight="1" s="20">
      <c r="A7" s="33" t="inlineStr">
        <is>
          <t>opt-sgd-lr0.1</t>
        </is>
      </c>
      <c r="B7" s="33" t="inlineStr">
        <is>
          <t>optimizer</t>
        </is>
      </c>
      <c r="C7" s="33" t="inlineStr">
        <is>
          <t>sgd lr=0.1</t>
        </is>
      </c>
      <c r="D7" s="33" t="inlineStr">
        <is>
          <t>CE</t>
        </is>
      </c>
      <c r="E7" s="33" t="inlineStr">
        <is>
          <t>SGD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2.269061489002227</v>
      </c>
      <c r="Q7" s="34" t="n">
        <v>0.3484690460141392</v>
      </c>
      <c r="R7" s="33" t="n">
        <v>18</v>
      </c>
      <c r="S7" s="34" t="n">
        <v>0.4192972143243937</v>
      </c>
      <c r="T7" s="34" t="n">
        <v>0.4288938788286814</v>
      </c>
      <c r="U7" s="34" t="n">
        <v>0.8536821496955745</v>
      </c>
      <c r="V7" s="34" t="n">
        <v>0.7420737057531933</v>
      </c>
      <c r="W7" s="33" t="n">
        <v>0.557792904199232</v>
      </c>
      <c r="X7" s="33" t="n">
        <v>127.467529296875</v>
      </c>
      <c r="Y7" s="33" t="inlineStr">
        <is>
          <t>N</t>
        </is>
      </c>
      <c r="Z7" s="34" t="n"/>
      <c r="AA7" s="34" t="n"/>
      <c r="AB7" s="33" t="inlineStr">
        <is>
          <t>figures/opt-sgd-lr0.1.png</t>
        </is>
      </c>
      <c r="AC7" s="33" t="inlineStr">
        <is>
          <t>đổi bộ tối ưu và lr (mỗi bộ thử 3 lr, so ở lr tốt nhất); chạy trên Apple MPS: peak_mem_MB là mức cấp phát lớn nhất đo ở cuối mỗi epoch; grad_norm trước clip: TB các epoch 0.919, bước lớn nhất 3.9</t>
        </is>
      </c>
      <c r="AD7" s="35">
        <f>IF(P7="","",P7-LN(7))</f>
        <v>0.3231513399469137</v>
      </c>
      <c r="AE7" s="35">
        <f>IF(OR(T7="",S7=""),"",T7-S7)</f>
        <v>0.0095966645042877</v>
      </c>
      <c r="AF7" s="35">
        <f>IF(OR(V7="",Seeds!$C$8=""),"",V7-Seeds!$C$8)</f>
        <v>-0.11189389983167952</v>
      </c>
      <c r="AG7" s="35" t="str">
        <f>IF(OR(AF7="",Seeds!$C$10=""),"",IF(ABS(AF7)&gt;Seeds!$C$10,"Có","Không"))</f>
        <v>Có</v>
      </c>
    </row>
    <row r="8" ht="15" customHeight="1" s="20">
      <c r="A8" s="33" t="inlineStr">
        <is>
          <t>opt-sgd-lr0.3</t>
        </is>
      </c>
      <c r="B8" s="33" t="inlineStr">
        <is>
          <t>optimizer</t>
        </is>
      </c>
      <c r="C8" s="33" t="inlineStr">
        <is>
          <t>sgd lr=0.3</t>
        </is>
      </c>
      <c r="D8" s="33" t="inlineStr">
        <is>
          <t>CE</t>
        </is>
      </c>
      <c r="E8" s="33" t="inlineStr">
        <is>
          <t>SGD</t>
        </is>
      </c>
      <c r="F8" s="33" t="n">
        <v>0.3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2.269061489002227</v>
      </c>
      <c r="Q8" s="34" t="n">
        <v>0.2949989932567373</v>
      </c>
      <c r="R8" s="33" t="n">
        <v>16</v>
      </c>
      <c r="S8" s="34" t="n">
        <v>0.4034411038296455</v>
      </c>
      <c r="T8" s="34" t="n">
        <v>0.4193340342630759</v>
      </c>
      <c r="U8" s="34" t="n">
        <v>0.8773154622318797</v>
      </c>
      <c r="V8" s="34" t="n">
        <v>0.794601728520739</v>
      </c>
      <c r="W8" s="33" t="n">
        <v>0.5545848646492232</v>
      </c>
      <c r="X8" s="33" t="n">
        <v>127.467529296875</v>
      </c>
      <c r="Y8" s="33" t="inlineStr">
        <is>
          <t>N</t>
        </is>
      </c>
      <c r="Z8" s="34" t="n"/>
      <c r="AA8" s="34" t="n"/>
      <c r="AB8" s="33" t="inlineStr">
        <is>
          <t>figures/opt-sgd-lr0.3.png</t>
        </is>
      </c>
      <c r="AC8" s="33" t="inlineStr">
        <is>
          <t>đổi bộ tối ưu và lr (mỗi bộ thử 3 lr, so ở lr tốt nhất); chạy trên Apple MPS: peak_mem_MB là mức cấp phát lớn nhất đo ở cuối mỗi epoch; grad_norm trước clip: TB các epoch 0.666, bước lớn nhất 2.87</t>
        </is>
      </c>
      <c r="AD8" s="35">
        <f>IF(P8="","",P8-LN(7))</f>
        <v>0.3231513399469137</v>
      </c>
      <c r="AE8" s="35">
        <f>IF(OR(T8="",S8=""),"",T8-S8)</f>
        <v>0.01589293043343043</v>
      </c>
      <c r="AF8" s="35">
        <f>IF(OR(V8="",Seeds!$C$8=""),"",V8-Seeds!$C$8)</f>
        <v>-0.059365877064133876</v>
      </c>
      <c r="AG8" s="35" t="str">
        <f>IF(OR(AF8="",Seeds!$C$10=""),"",IF(ABS(AF8)&gt;Seeds!$C$10,"Có","Không"))</f>
        <v>Có</v>
      </c>
    </row>
    <row r="9" ht="15" customHeight="1" s="20">
      <c r="A9" s="33" t="inlineStr">
        <is>
          <t>opt-adam-lr0.0003</t>
        </is>
      </c>
      <c r="B9" s="33" t="inlineStr">
        <is>
          <t>optimizer</t>
        </is>
      </c>
      <c r="C9" s="33" t="inlineStr">
        <is>
          <t>adam lr=0.0003</t>
        </is>
      </c>
      <c r="D9" s="33" t="inlineStr">
        <is>
          <t>CE</t>
        </is>
      </c>
      <c r="E9" s="33" t="inlineStr">
        <is>
          <t>Adam</t>
        </is>
      </c>
      <c r="F9" s="33" t="n">
        <v>0.0003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2.269061489002227</v>
      </c>
      <c r="Q9" s="34" t="n">
        <v>0.3084348519085756</v>
      </c>
      <c r="R9" s="33" t="n">
        <v>20</v>
      </c>
      <c r="S9" s="34" t="n">
        <v>0.2965897349550436</v>
      </c>
      <c r="T9" s="34" t="n">
        <v>0.3084348519085756</v>
      </c>
      <c r="U9" s="34" t="n">
        <v>0.8759923409565199</v>
      </c>
      <c r="V9" s="34" t="n">
        <v>0.7941070976709493</v>
      </c>
      <c r="W9" s="33" t="n">
        <v>0.7742374874494999</v>
      </c>
      <c r="X9" s="33" t="n">
        <v>127.833251953125</v>
      </c>
      <c r="Y9" s="33" t="inlineStr">
        <is>
          <t>N</t>
        </is>
      </c>
      <c r="Z9" s="34" t="n"/>
      <c r="AA9" s="34" t="n"/>
      <c r="AB9" s="33" t="inlineStr">
        <is>
          <t>figures/opt-adam-lr0.0003.png</t>
        </is>
      </c>
      <c r="AC9" s="33" t="inlineStr">
        <is>
          <t>đổi bộ tối ưu và lr (mỗi bộ thử 3 lr, so ở lr tốt nhất); chạy trên Apple MPS: peak_mem_MB là mức cấp phát lớn nhất đo ở cuối mỗi epoch; grad_norm trước clip: TB các epoch 0.790, bước lớn nhất 2.87</t>
        </is>
      </c>
      <c r="AD9" s="35">
        <f>IF(P9="","",P9-LN(7))</f>
        <v>0.3231513399469137</v>
      </c>
      <c r="AE9" s="35">
        <f>IF(OR(T9="",S9=""),"",T9-S9)</f>
        <v>0.011845116953531909</v>
      </c>
      <c r="AF9" s="35">
        <f>IF(OR(V9="",Seeds!$C$8=""),"",V9-Seeds!$C$8)</f>
        <v>-0.0598605079139235</v>
      </c>
      <c r="AG9" s="35" t="str">
        <f>IF(OR(AF9="",Seeds!$C$10=""),"",IF(ABS(AF9)&gt;Seeds!$C$10,"Có","Không"))</f>
        <v>Có</v>
      </c>
    </row>
    <row r="10" ht="15" customHeight="1" s="20">
      <c r="A10" s="33" t="inlineStr">
        <is>
          <t>opt-adam-lr0.001</t>
        </is>
      </c>
      <c r="B10" s="33" t="inlineStr">
        <is>
          <t>optimizer</t>
        </is>
      </c>
      <c r="C10" s="33" t="inlineStr">
        <is>
          <t>adam lr=0.001</t>
        </is>
      </c>
      <c r="D10" s="33" t="inlineStr">
        <is>
          <t>CE</t>
        </is>
      </c>
      <c r="E10" s="33" t="inlineStr">
        <is>
          <t>Adam</t>
        </is>
      </c>
      <c r="F10" s="33" t="n">
        <v>0.001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2.269061489002227</v>
      </c>
      <c r="Q10" s="34" t="n">
        <v>0.2429519357539909</v>
      </c>
      <c r="R10" s="33" t="n">
        <v>18</v>
      </c>
      <c r="S10" s="34" t="n">
        <v>0.2261286828692101</v>
      </c>
      <c r="T10" s="34" t="n">
        <v>0.2468074086954717</v>
      </c>
      <c r="U10" s="34" t="n">
        <v>0.9037886448226157</v>
      </c>
      <c r="V10" s="34" t="n">
        <v>0.8432746211497955</v>
      </c>
      <c r="W10" s="33" t="n">
        <v>0.8152620435990684</v>
      </c>
      <c r="X10" s="33" t="n">
        <v>127.833251953125</v>
      </c>
      <c r="Y10" s="33" t="inlineStr">
        <is>
          <t>N</t>
        </is>
      </c>
      <c r="Z10" s="34" t="n"/>
      <c r="AA10" s="34" t="n"/>
      <c r="AB10" s="33" t="inlineStr">
        <is>
          <t>figures/opt-adam-lr0.001.png</t>
        </is>
      </c>
      <c r="AC10" s="33" t="inlineStr">
        <is>
          <t>đổi bộ tối ưu và lr (mỗi bộ thử 3 lr, so ở lr tốt nhất); chạy trên Apple MPS: peak_mem_MB là mức cấp phát lớn nhất đo ở cuối mỗi epoch; grad_norm trước clip: TB các epoch 0.905, bước lớn nhất 2.87</t>
        </is>
      </c>
      <c r="AD10" s="35">
        <f>IF(P10="","",P10-LN(7))</f>
        <v>0.3231513399469137</v>
      </c>
      <c r="AE10" s="35">
        <f>IF(OR(T10="",S10=""),"",T10-S10)</f>
        <v>0.020678725826261513</v>
      </c>
      <c r="AF10" s="35">
        <f>IF(OR(V10="",Seeds!$C$8=""),"",V10-Seeds!$C$8)</f>
        <v>-0.01069298443507738</v>
      </c>
      <c r="AG10" s="35" t="str">
        <f>IF(OR(AF10="",Seeds!$C$10=""),"",IF(ABS(AF10)&gt;Seeds!$C$10,"Có","Không"))</f>
        <v>Không</v>
      </c>
    </row>
    <row r="11" ht="15" customHeight="1" s="20">
      <c r="A11" s="33" t="inlineStr">
        <is>
          <t>opt-adam-lr0.003</t>
        </is>
      </c>
      <c r="B11" s="33" t="inlineStr">
        <is>
          <t>optimizer</t>
        </is>
      </c>
      <c r="C11" s="33" t="inlineStr">
        <is>
          <t>adam lr=0.003</t>
        </is>
      </c>
      <c r="D11" s="33" t="inlineStr">
        <is>
          <t>CE</t>
        </is>
      </c>
      <c r="E11" s="33" t="inlineStr">
        <is>
          <t>Adam</t>
        </is>
      </c>
      <c r="F11" s="33" t="n">
        <v>0.003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2.269061489002227</v>
      </c>
      <c r="Q11" s="34" t="n">
        <v>0.209336915696022</v>
      </c>
      <c r="R11" s="33" t="n">
        <v>20</v>
      </c>
      <c r="S11" s="34" t="n">
        <v>0.1813371355983505</v>
      </c>
      <c r="T11" s="34" t="n">
        <v>0.209336915696022</v>
      </c>
      <c r="U11" s="34" t="n">
        <v>0.916094748391816</v>
      </c>
      <c r="V11" s="34" t="n">
        <v>0.8788975767972823</v>
      </c>
      <c r="W11" s="33" t="n">
        <v>0.7876685416002147</v>
      </c>
      <c r="X11" s="33" t="n">
        <v>127.833251953125</v>
      </c>
      <c r="Y11" s="33" t="inlineStr">
        <is>
          <t>N</t>
        </is>
      </c>
      <c r="Z11" s="34" t="n"/>
      <c r="AA11" s="34" t="n"/>
      <c r="AB11" s="33" t="inlineStr">
        <is>
          <t>figures/opt-adam-lr0.003.png</t>
        </is>
      </c>
      <c r="AC11" s="33" t="inlineStr">
        <is>
          <t>đổi bộ tối ưu và lr (mỗi bộ thử 3 lr, so ở lr tốt nhất); chạy trên Apple MPS: peak_mem_MB là mức cấp phát lớn nhất đo ở cuối mỗi epoch; grad_norm trước clip: TB các epoch 0.677, bước lớn nhất 2.87</t>
        </is>
      </c>
      <c r="AD11" s="35">
        <f>IF(P11="","",P11-LN(7))</f>
        <v>0.3231513399469137</v>
      </c>
      <c r="AE11" s="35">
        <f>IF(OR(T11="",S11=""),"",T11-S11)</f>
        <v>0.027999780097671456</v>
      </c>
      <c r="AF11" s="35">
        <f>IF(OR(V11="",Seeds!$C$8=""),"",V11-Seeds!$C$8)</f>
        <v>0.024929971212409474</v>
      </c>
      <c r="AG11" s="35" t="str">
        <f>IF(OR(AF11="",Seeds!$C$10=""),"",IF(ABS(AF11)&gt;Seeds!$C$10,"Có","Không"))</f>
        <v>Có</v>
      </c>
    </row>
    <row r="12" ht="15" customHeight="1" s="20">
      <c r="A12" s="33" t="inlineStr">
        <is>
          <t>opt-adamw-lr0.0003</t>
        </is>
      </c>
      <c r="B12" s="33" t="inlineStr">
        <is>
          <t>optimizer</t>
        </is>
      </c>
      <c r="C12" s="33" t="inlineStr">
        <is>
          <t>adamw lr=0.0003, weight_decay=0.01</t>
        </is>
      </c>
      <c r="D12" s="33" t="inlineStr">
        <is>
          <t>CE</t>
        </is>
      </c>
      <c r="E12" s="33" t="inlineStr">
        <is>
          <t>AdamW</t>
        </is>
      </c>
      <c r="F12" s="33" t="n">
        <v>0.0003</v>
      </c>
      <c r="G12" s="33" t="n">
        <v>0.01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2.269061489002227</v>
      </c>
      <c r="Q12" s="34" t="n">
        <v>0.3109990421520941</v>
      </c>
      <c r="R12" s="33" t="n">
        <v>20</v>
      </c>
      <c r="S12" s="34" t="n">
        <v>0.299603515085306</v>
      </c>
      <c r="T12" s="34" t="n">
        <v>0.3109990421520941</v>
      </c>
      <c r="U12" s="34" t="n">
        <v>0.8748520901013317</v>
      </c>
      <c r="V12" s="34" t="n">
        <v>0.7921124499403802</v>
      </c>
      <c r="W12" s="33" t="n">
        <v>0.7935130874499009</v>
      </c>
      <c r="X12" s="33" t="n">
        <v>127.833251953125</v>
      </c>
      <c r="Y12" s="33" t="inlineStr">
        <is>
          <t>N</t>
        </is>
      </c>
      <c r="Z12" s="34" t="n"/>
      <c r="AA12" s="34" t="n"/>
      <c r="AB12" s="33" t="inlineStr">
        <is>
          <t>figures/opt-adamw-lr0.0003.png</t>
        </is>
      </c>
      <c r="AC12" s="33" t="inlineStr">
        <is>
          <t>đổi bộ tối ưu và lr (mỗi bộ thử 3 lr, so ở lr tốt nhất); AdamW kèm weight_decay=0.01; chạy trên Apple MPS: peak_mem_MB là mức cấp phát lớn nhất đo ở cuối mỗi epoch; grad_norm trước clip: TB các epoch 0.782, bước lớn nhất 2.87</t>
        </is>
      </c>
      <c r="AD12" s="35">
        <f>IF(P12="","",P12-LN(7))</f>
        <v>0.3231513399469137</v>
      </c>
      <c r="AE12" s="35">
        <f>IF(OR(T12="",S12=""),"",T12-S12)</f>
        <v>0.011395527066788036</v>
      </c>
      <c r="AF12" s="35">
        <f>IF(OR(V12="",Seeds!$C$8=""),"",V12-Seeds!$C$8)</f>
        <v>-0.06185515564449262</v>
      </c>
      <c r="AG12" s="35" t="str">
        <f>IF(OR(AF12="",Seeds!$C$10=""),"",IF(ABS(AF12)&gt;Seeds!$C$10,"Có","Không"))</f>
        <v>Có</v>
      </c>
    </row>
    <row r="13" ht="15" customHeight="1" s="20">
      <c r="A13" s="33" t="inlineStr">
        <is>
          <t>opt-adamw-lr0.001</t>
        </is>
      </c>
      <c r="B13" s="33" t="inlineStr">
        <is>
          <t>optimizer</t>
        </is>
      </c>
      <c r="C13" s="33" t="inlineStr">
        <is>
          <t>adamw lr=0.001, weight_decay=0.01</t>
        </is>
      </c>
      <c r="D13" s="33" t="inlineStr">
        <is>
          <t>CE</t>
        </is>
      </c>
      <c r="E13" s="33" t="inlineStr">
        <is>
          <t>AdamW</t>
        </is>
      </c>
      <c r="F13" s="33" t="n">
        <v>0.001</v>
      </c>
      <c r="G13" s="33" t="n">
        <v>0.01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2.269061489002227</v>
      </c>
      <c r="Q13" s="34" t="n">
        <v>0.2483486406071836</v>
      </c>
      <c r="R13" s="33" t="n">
        <v>18</v>
      </c>
      <c r="S13" s="34" t="n">
        <v>0.2313369065566828</v>
      </c>
      <c r="T13" s="34" t="n">
        <v>0.2505097231954488</v>
      </c>
      <c r="U13" s="34" t="n">
        <v>0.9005830339278414</v>
      </c>
      <c r="V13" s="34" t="n">
        <v>0.8414523738584826</v>
      </c>
      <c r="W13" s="33" t="n">
        <v>0.7888832021006238</v>
      </c>
      <c r="X13" s="33" t="n">
        <v>127.833251953125</v>
      </c>
      <c r="Y13" s="33" t="inlineStr">
        <is>
          <t>N</t>
        </is>
      </c>
      <c r="Z13" s="34" t="n"/>
      <c r="AA13" s="34" t="n"/>
      <c r="AB13" s="33" t="inlineStr">
        <is>
          <t>figures/opt-adamw-lr0.001.png</t>
        </is>
      </c>
      <c r="AC13" s="33" t="inlineStr">
        <is>
          <t>đổi bộ tối ưu và lr (mỗi bộ thử 3 lr, so ở lr tốt nhất); AdamW kèm weight_decay=0.01; chạy trên Apple MPS: peak_mem_MB là mức cấp phát lớn nhất đo ở cuối mỗi epoch; grad_norm trước clip: TB các epoch 0.886, bước lớn nhất 2.91</t>
        </is>
      </c>
      <c r="AD13" s="35">
        <f>IF(P13="","",P13-LN(7))</f>
        <v>0.3231513399469137</v>
      </c>
      <c r="AE13" s="35">
        <f>IF(OR(T13="",S13=""),"",T13-S13)</f>
        <v>0.01917281663876602</v>
      </c>
      <c r="AF13" s="35">
        <f>IF(OR(V13="",Seeds!$C$8=""),"",V13-Seeds!$C$8)</f>
        <v>-0.012515231726390241</v>
      </c>
      <c r="AG13" s="35" t="str">
        <f>IF(OR(AF13="",Seeds!$C$10=""),"",IF(ABS(AF13)&gt;Seeds!$C$10,"Có","Không"))</f>
        <v>Không</v>
      </c>
    </row>
    <row r="14" ht="15" customHeight="1" s="20">
      <c r="A14" s="33" t="inlineStr">
        <is>
          <t>opt-adamw-lr0.003</t>
        </is>
      </c>
      <c r="B14" s="33" t="inlineStr">
        <is>
          <t>optimizer</t>
        </is>
      </c>
      <c r="C14" s="33" t="inlineStr">
        <is>
          <t>adamw lr=0.003, weight_decay=0.01</t>
        </is>
      </c>
      <c r="D14" s="33" t="inlineStr">
        <is>
          <t>CE</t>
        </is>
      </c>
      <c r="E14" s="33" t="inlineStr">
        <is>
          <t>AdamW</t>
        </is>
      </c>
      <c r="F14" s="33" t="n">
        <v>0.003</v>
      </c>
      <c r="G14" s="33" t="n">
        <v>0.01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2.269061489002227</v>
      </c>
      <c r="Q14" s="34" t="n">
        <v>0.2155442065814694</v>
      </c>
      <c r="R14" s="33" t="n">
        <v>20</v>
      </c>
      <c r="S14" s="34" t="n">
        <v>0.1925168642490329</v>
      </c>
      <c r="T14" s="34" t="n">
        <v>0.2155442065814694</v>
      </c>
      <c r="U14" s="34" t="n">
        <v>0.9135345625094125</v>
      </c>
      <c r="V14" s="34" t="n">
        <v>0.8748236448831717</v>
      </c>
      <c r="W14" s="33" t="n">
        <v>0.7951679500500177</v>
      </c>
      <c r="X14" s="33" t="n">
        <v>127.833251953125</v>
      </c>
      <c r="Y14" s="33" t="inlineStr">
        <is>
          <t>N</t>
        </is>
      </c>
      <c r="Z14" s="34" t="n"/>
      <c r="AA14" s="34" t="n"/>
      <c r="AB14" s="33" t="inlineStr">
        <is>
          <t>figures/opt-adamw-lr0.003.png</t>
        </is>
      </c>
      <c r="AC14" s="33" t="inlineStr">
        <is>
          <t>đổi bộ tối ưu và lr (mỗi bộ thử 3 lr, so ở lr tốt nhất); AdamW kèm weight_decay=0.01; chạy trên Apple MPS: peak_mem_MB là mức cấp phát lớn nhất đo ở cuối mỗi epoch; grad_norm trước clip: TB các epoch 0.648, bước lớn nhất 2.87</t>
        </is>
      </c>
      <c r="AD14" s="35">
        <f>IF(P14="","",P14-LN(7))</f>
        <v>0.3231513399469137</v>
      </c>
      <c r="AE14" s="35">
        <f>IF(OR(T14="",S14=""),"",T14-S14)</f>
        <v>0.0230273423324365</v>
      </c>
      <c r="AF14" s="35">
        <f>IF(OR(V14="",Seeds!$C$8=""),"",V14-Seeds!$C$8)</f>
        <v>0.020856039298298823</v>
      </c>
      <c r="AG14" s="35" t="str">
        <f>IF(OR(AF14="",Seeds!$C$10=""),"",IF(ABS(AF14)&gt;Seeds!$C$10,"Có","Không"))</f>
        <v>Không</v>
      </c>
    </row>
    <row r="15" ht="15" customHeight="1" s="20">
      <c r="A15" s="33" t="inlineStr">
        <is>
          <t>opt-adamw-wd0-lr0.001</t>
        </is>
      </c>
      <c r="B15" s="33" t="inlineStr">
        <is>
          <t>optimizer</t>
        </is>
      </c>
      <c r="C15" s="33" t="inlineStr">
        <is>
          <t>AdamW weight_decay=0, lr=1e-3 (kiểm chứng trùng Adam)</t>
        </is>
      </c>
      <c r="D15" s="33" t="inlineStr">
        <is>
          <t>CE</t>
        </is>
      </c>
      <c r="E15" s="33" t="inlineStr">
        <is>
          <t>AdamW</t>
        </is>
      </c>
      <c r="F15" s="33" t="n">
        <v>0.001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2.269061489002227</v>
      </c>
      <c r="Q15" s="34" t="n">
        <v>0.2429519357539909</v>
      </c>
      <c r="R15" s="33" t="n">
        <v>18</v>
      </c>
      <c r="S15" s="34" t="n">
        <v>0.2261286828692101</v>
      </c>
      <c r="T15" s="34" t="n">
        <v>0.2468074086954717</v>
      </c>
      <c r="U15" s="34" t="n">
        <v>0.9037886448226157</v>
      </c>
      <c r="V15" s="34" t="n">
        <v>0.8432746211497955</v>
      </c>
      <c r="W15" s="33" t="n">
        <v>0.83653323754952</v>
      </c>
      <c r="X15" s="33" t="n">
        <v>127.833251953125</v>
      </c>
      <c r="Y15" s="33" t="inlineStr">
        <is>
          <t>N</t>
        </is>
      </c>
      <c r="Z15" s="34" t="n"/>
      <c r="AA15" s="34" t="n"/>
      <c r="AB15" s="33" t="inlineStr">
        <is>
          <t>figures/opt-adamw-wd0-lr0.001.png</t>
        </is>
      </c>
      <c r="AC15" s="33" t="inlineStr">
        <is>
          <t>so với opt-adam-lr0.001; chạy trên Apple MPS: peak_mem_MB là mức cấp phát lớn nhất đo ở cuối mỗi epoch; grad_norm trước clip: TB các epoch 0.905, bước lớn nhất 2.87</t>
        </is>
      </c>
      <c r="AD15" s="35">
        <f>IF(P15="","",P15-LN(7))</f>
        <v>0.3231513399469137</v>
      </c>
      <c r="AE15" s="35">
        <f>IF(OR(T15="",S15=""),"",T15-S15)</f>
        <v>0.020678725826261513</v>
      </c>
      <c r="AF15" s="35">
        <f>IF(OR(V15="",Seeds!$C$8=""),"",V15-Seeds!$C$8)</f>
        <v>-0.01069298443507738</v>
      </c>
      <c r="AG15" s="35" t="str">
        <f>IF(OR(AF15="",Seeds!$C$10=""),"",IF(ABS(AF15)&gt;Seeds!$C$10,"Có","Không"))</f>
        <v>Không</v>
      </c>
    </row>
    <row r="16" ht="15" customHeight="1" s="20">
      <c r="A16" s="33" t="inlineStr">
        <is>
          <t>hp-lr0.01</t>
        </is>
      </c>
      <c r="B16" s="33" t="inlineStr">
        <is>
          <t>hparam</t>
        </is>
      </c>
      <c r="C16" s="33" t="inlineStr">
        <is>
          <t>Baseline nhưng lr=0.01 (baseline: 0.3)</t>
        </is>
      </c>
      <c r="D16" s="33" t="inlineStr">
        <is>
          <t>CE</t>
        </is>
      </c>
      <c r="E16" s="33" t="inlineStr">
        <is>
          <t>SGD+momentum</t>
        </is>
      </c>
      <c r="F16" s="33" t="n">
        <v>0.01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2.269061489002227</v>
      </c>
      <c r="Q16" s="34" t="n">
        <v>0.3166585608610575</v>
      </c>
      <c r="R16" s="33" t="n">
        <v>19</v>
      </c>
      <c r="S16" s="34" t="n">
        <v>0.3169902703060142</v>
      </c>
      <c r="T16" s="34" t="n">
        <v>0.3275892586339882</v>
      </c>
      <c r="U16" s="34" t="n">
        <v>0.8713883092016093</v>
      </c>
      <c r="V16" s="34" t="n">
        <v>0.7622703277739579</v>
      </c>
      <c r="W16" s="33" t="n">
        <v>0.6219744646998151</v>
      </c>
      <c r="X16" s="33" t="n">
        <v>127.650390625</v>
      </c>
      <c r="Y16" s="33" t="inlineStr">
        <is>
          <t>N</t>
        </is>
      </c>
      <c r="Z16" s="34" t="n"/>
      <c r="AA16" s="34" t="n"/>
      <c r="AB16" s="33" t="inlineStr">
        <is>
          <t>figures/hp-lr0.01.png</t>
        </is>
      </c>
      <c r="AC16" s="33" t="inlineStr">
        <is>
          <t>lần chạy trong lưới tìm lr của baseline; chạy trên Apple MPS: peak_mem_MB là mức cấp phát lớn nhất đo ở cuối mỗi epoch; grad_norm trước clip: TB các epoch 1.055, bước lớn nhất 4.34</t>
        </is>
      </c>
      <c r="AD16" s="35">
        <f>IF(P16="","",P16-LN(7))</f>
        <v>0.3231513399469137</v>
      </c>
      <c r="AE16" s="35">
        <f>IF(OR(T16="",S16=""),"",T16-S16)</f>
        <v>0.010598988327973957</v>
      </c>
      <c r="AF16" s="35">
        <f>IF(OR(V16="",Seeds!$C$8=""),"",V16-Seeds!$C$8)</f>
        <v>-0.09169727781091497</v>
      </c>
      <c r="AG16" s="35" t="str">
        <f>IF(OR(AF16="",Seeds!$C$10=""),"",IF(ABS(AF16)&gt;Seeds!$C$10,"Có","Không"))</f>
        <v>Có</v>
      </c>
    </row>
    <row r="17" ht="15" customHeight="1" s="20">
      <c r="A17" s="33" t="inlineStr">
        <is>
          <t>hp-lr0.03</t>
        </is>
      </c>
      <c r="B17" s="33" t="inlineStr">
        <is>
          <t>hparam</t>
        </is>
      </c>
      <c r="C17" s="33" t="inlineStr">
        <is>
          <t>Baseline nhưng lr=0.03 (baseline: 0.3)</t>
        </is>
      </c>
      <c r="D17" s="33" t="inlineStr">
        <is>
          <t>CE</t>
        </is>
      </c>
      <c r="E17" s="33" t="inlineStr">
        <is>
          <t>SGD+momentum</t>
        </is>
      </c>
      <c r="F17" s="33" t="n">
        <v>0.03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2.269061489002227</v>
      </c>
      <c r="Q17" s="34" t="n">
        <v>0.2650821947019935</v>
      </c>
      <c r="R17" s="33" t="n">
        <v>20</v>
      </c>
      <c r="S17" s="34" t="n">
        <v>0.2472710322151672</v>
      </c>
      <c r="T17" s="34" t="n">
        <v>0.2650821947019935</v>
      </c>
      <c r="U17" s="34" t="n">
        <v>0.8924829500225899</v>
      </c>
      <c r="V17" s="34" t="n">
        <v>0.8244661841788415</v>
      </c>
      <c r="W17" s="33" t="n">
        <v>0.5995033603503543</v>
      </c>
      <c r="X17" s="33" t="n">
        <v>127.650390625</v>
      </c>
      <c r="Y17" s="33" t="inlineStr">
        <is>
          <t>N</t>
        </is>
      </c>
      <c r="Z17" s="34" t="n"/>
      <c r="AA17" s="34" t="n"/>
      <c r="AB17" s="33" t="inlineStr">
        <is>
          <t>figures/hp-lr0.03.png</t>
        </is>
      </c>
      <c r="AC17" s="33" t="inlineStr">
        <is>
          <t>lần chạy trong lưới tìm lr của baseline; chạy trên Apple MPS: peak_mem_MB là mức cấp phát lớn nhất đo ở cuối mỗi epoch; grad_norm trước clip: TB các epoch 0.944, bước lớn nhất 2.87</t>
        </is>
      </c>
      <c r="AD17" s="35">
        <f>IF(P17="","",P17-LN(7))</f>
        <v>0.3231513399469137</v>
      </c>
      <c r="AE17" s="35">
        <f>IF(OR(T17="",S17=""),"",T17-S17)</f>
        <v>0.017811162486826293</v>
      </c>
      <c r="AF17" s="35">
        <f>IF(OR(V17="",Seeds!$C$8=""),"",V17-Seeds!$C$8)</f>
        <v>-0.029501421406031292</v>
      </c>
      <c r="AG17" s="35" t="str">
        <f>IF(OR(AF17="",Seeds!$C$10=""),"",IF(ABS(AF17)&gt;Seeds!$C$10,"Có","Không"))</f>
        <v>Có</v>
      </c>
    </row>
    <row r="18" ht="15" customHeight="1" s="20">
      <c r="A18" s="33" t="inlineStr">
        <is>
          <t>hp-lr0.1</t>
        </is>
      </c>
      <c r="B18" s="33" t="inlineStr">
        <is>
          <t>hparam</t>
        </is>
      </c>
      <c r="C18" s="33" t="inlineStr">
        <is>
          <t>Baseline nhưng lr=0.1 (baseline: 0.3)</t>
        </is>
      </c>
      <c r="D18" s="33" t="inlineStr">
        <is>
          <t>CE</t>
        </is>
      </c>
      <c r="E18" s="33" t="inlineStr">
        <is>
          <t>SGD+momentum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2.269061489002227</v>
      </c>
      <c r="Q18" s="34" t="n">
        <v>0.2379411675351891</v>
      </c>
      <c r="R18" s="33" t="n">
        <v>20</v>
      </c>
      <c r="S18" s="34" t="n">
        <v>0.2129858934651718</v>
      </c>
      <c r="T18" s="34" t="n">
        <v>0.2379411675351891</v>
      </c>
      <c r="U18" s="34" t="n">
        <v>0.9043049848325122</v>
      </c>
      <c r="V18" s="34" t="n">
        <v>0.8536850590817637</v>
      </c>
      <c r="W18" s="33" t="n">
        <v>0.5562684605491086</v>
      </c>
      <c r="X18" s="33" t="n">
        <v>127.650390625</v>
      </c>
      <c r="Y18" s="33" t="inlineStr">
        <is>
          <t>N</t>
        </is>
      </c>
      <c r="Z18" s="34" t="n"/>
      <c r="AA18" s="34" t="n"/>
      <c r="AB18" s="33" t="inlineStr">
        <is>
          <t>figures/hp-lr0.1.png</t>
        </is>
      </c>
      <c r="AC18" s="33" t="inlineStr">
        <is>
          <t>lần chạy trong lưới tìm lr của baseline; chạy trên Apple MPS: peak_mem_MB là mức cấp phát lớn nhất đo ở cuối mỗi epoch; grad_norm trước clip: TB các epoch 0.566, bước lớn nhất 2.87</t>
        </is>
      </c>
      <c r="AD18" s="35">
        <f>IF(P18="","",P18-LN(7))</f>
        <v>0.3231513399469137</v>
      </c>
      <c r="AE18" s="35">
        <f>IF(OR(T18="",S18=""),"",T18-S18)</f>
        <v>0.02495527407001727</v>
      </c>
      <c r="AF18" s="35">
        <f>IF(OR(V18="",Seeds!$C$8=""),"",V18-Seeds!$C$8)</f>
        <v>-0.00028254650310910456</v>
      </c>
      <c r="AG18" s="35" t="str">
        <f>IF(OR(AF18="",Seeds!$C$10=""),"",IF(ABS(AF18)&gt;Seeds!$C$10,"Có","Không"))</f>
        <v>Không</v>
      </c>
    </row>
    <row r="19" ht="15" customHeight="1" s="20">
      <c r="A19" s="33" t="inlineStr">
        <is>
          <t>hp-batch128</t>
        </is>
      </c>
      <c r="B19" s="33" t="inlineStr">
        <is>
          <t>hparam</t>
        </is>
      </c>
      <c r="C19" s="33" t="inlineStr">
        <is>
          <t>batch 128 (4x số bước cập nhật mỗi epoch)</t>
        </is>
      </c>
      <c r="D19" s="33" t="inlineStr">
        <is>
          <t>CE</t>
        </is>
      </c>
      <c r="E19" s="33" t="inlineStr">
        <is>
          <t>SGD+momentum</t>
        </is>
      </c>
      <c r="F19" s="33" t="n">
        <v>0.3</v>
      </c>
      <c r="G19" s="33" t="n">
        <v>0</v>
      </c>
      <c r="H19" s="33" t="n">
        <v>128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2.269061489002227</v>
      </c>
      <c r="Q19" s="34" t="n">
        <v>0.3135232321174412</v>
      </c>
      <c r="R19" s="33" t="n">
        <v>16</v>
      </c>
      <c r="S19" s="34" t="n">
        <v>0.3266989111375529</v>
      </c>
      <c r="T19" s="34" t="n">
        <v>0.3475682203680587</v>
      </c>
      <c r="U19" s="34" t="n">
        <v>0.8777242314063811</v>
      </c>
      <c r="V19" s="34" t="n">
        <v>0.7970090687949966</v>
      </c>
      <c r="W19" s="33" t="n">
        <v>2.158499554198715</v>
      </c>
      <c r="X19" s="33" t="n">
        <v>127.623046875</v>
      </c>
      <c r="Y19" s="33" t="inlineStr">
        <is>
          <t>N</t>
        </is>
      </c>
      <c r="Z19" s="34" t="n"/>
      <c r="AA19" s="34" t="n"/>
      <c r="AB19" s="33" t="inlineStr">
        <is>
          <t>figures/hp-batch128.png</t>
        </is>
      </c>
      <c r="AC19" s="33" t="inlineStr">
        <is>
          <t>chạy trên Apple MPS: peak_mem_MB là mức cấp phát lớn nhất đo ở cuối mỗi epoch; grad_norm trước clip: TB các epoch 0.443, bước lớn nhất 3.5</t>
        </is>
      </c>
      <c r="AD19" s="35">
        <f>IF(P19="","",P19-LN(7))</f>
        <v>0.3231513399469137</v>
      </c>
      <c r="AE19" s="35">
        <f>IF(OR(T19="",S19=""),"",T19-S19)</f>
        <v>0.020869309230505784</v>
      </c>
      <c r="AF19" s="35">
        <f>IF(OR(V19="",Seeds!$C$8=""),"",V19-Seeds!$C$8)</f>
        <v>-0.05695853678987628</v>
      </c>
      <c r="AG19" s="35" t="str">
        <f>IF(OR(AF19="",Seeds!$C$10=""),"",IF(ABS(AF19)&gt;Seeds!$C$10,"Có","Không"))</f>
        <v>Có</v>
      </c>
    </row>
    <row r="20" ht="15" customHeight="1" s="20">
      <c r="A20" s="33" t="inlineStr">
        <is>
          <t>hp-batch2048</t>
        </is>
      </c>
      <c r="B20" s="33" t="inlineStr">
        <is>
          <t>hparam</t>
        </is>
      </c>
      <c r="C20" s="33" t="inlineStr">
        <is>
          <t>batch 2048 (1/4 số bước cập nhật mỗi epoch), lr giữ nguyên</t>
        </is>
      </c>
      <c r="D20" s="33" t="inlineStr">
        <is>
          <t>CE</t>
        </is>
      </c>
      <c r="E20" s="33" t="inlineStr">
        <is>
          <t>SGD+momentum</t>
        </is>
      </c>
      <c r="F20" s="33" t="n">
        <v>0.3</v>
      </c>
      <c r="G20" s="33" t="n">
        <v>0</v>
      </c>
      <c r="H20" s="33" t="n">
        <v>2048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2.269061489002227</v>
      </c>
      <c r="Q20" s="34" t="n">
        <v>0.2426527832567003</v>
      </c>
      <c r="R20" s="33" t="n">
        <v>18</v>
      </c>
      <c r="S20" s="34" t="n">
        <v>0.2358767668294604</v>
      </c>
      <c r="T20" s="34" t="n">
        <v>0.2576427003817756</v>
      </c>
      <c r="U20" s="34" t="n">
        <v>0.9030248918913104</v>
      </c>
      <c r="V20" s="34" t="n">
        <v>0.8370198504254773</v>
      </c>
      <c r="W20" s="33" t="n">
        <v>0.2007039853986498</v>
      </c>
      <c r="X20" s="33" t="n">
        <v>127.869140625</v>
      </c>
      <c r="Y20" s="33" t="inlineStr">
        <is>
          <t>N</t>
        </is>
      </c>
      <c r="Z20" s="34" t="n"/>
      <c r="AA20" s="34" t="n"/>
      <c r="AB20" s="33" t="inlineStr">
        <is>
          <t>figures/hp-batch2048.png</t>
        </is>
      </c>
      <c r="AC20" s="33" t="inlineStr">
        <is>
          <t>chạy trên Apple MPS: peak_mem_MB là mức cấp phát lớn nhất đo ở cuối mỗi epoch; grad_norm trước clip: TB các epoch 0.426, bước lớn nhất 3.01</t>
        </is>
      </c>
      <c r="AD20" s="35">
        <f>IF(P20="","",P20-LN(7))</f>
        <v>0.3231513399469137</v>
      </c>
      <c r="AE20" s="35">
        <f>IF(OR(T20="",S20=""),"",T20-S20)</f>
        <v>0.02176593355231518</v>
      </c>
      <c r="AF20" s="35">
        <f>IF(OR(V20="",Seeds!$C$8=""),"",V20-Seeds!$C$8)</f>
        <v>-0.016947755159395506</v>
      </c>
      <c r="AG20" s="35" t="str">
        <f>IF(OR(AF20="",Seeds!$C$10=""),"",IF(ABS(AF20)&gt;Seeds!$C$10,"Có","Không"))</f>
        <v>Không</v>
      </c>
    </row>
    <row r="21" ht="15" customHeight="1" s="20">
      <c r="A21" s="33" t="inlineStr">
        <is>
          <t>hp-batch2048-lrx4</t>
        </is>
      </c>
      <c r="B21" s="33" t="inlineStr">
        <is>
          <t>hparam</t>
        </is>
      </c>
      <c r="C21" s="33" t="inlineStr">
        <is>
          <t>batch 2048 và lr x4 = 1.2 (quy tắc tăng lr theo lô)</t>
        </is>
      </c>
      <c r="D21" s="33" t="inlineStr">
        <is>
          <t>CE</t>
        </is>
      </c>
      <c r="E21" s="33" t="inlineStr">
        <is>
          <t>SGD+momentum</t>
        </is>
      </c>
      <c r="F21" s="33" t="n">
        <v>1.2</v>
      </c>
      <c r="G21" s="33" t="n">
        <v>0</v>
      </c>
      <c r="H21" s="33" t="n">
        <v>2048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2.269061489002227</v>
      </c>
      <c r="Q21" s="34" t="n">
        <v>0.3654884454425935</v>
      </c>
      <c r="R21" s="33" t="n">
        <v>18</v>
      </c>
      <c r="S21" s="34" t="n">
        <v>0.3618128168253257</v>
      </c>
      <c r="T21" s="34" t="n">
        <v>0.3715232139543577</v>
      </c>
      <c r="U21" s="34" t="n">
        <v>0.8485402637636884</v>
      </c>
      <c r="V21" s="34" t="n">
        <v>0.6223624927161839</v>
      </c>
      <c r="W21" s="33" t="n">
        <v>0.2018688395495701</v>
      </c>
      <c r="X21" s="33" t="n">
        <v>127.869140625</v>
      </c>
      <c r="Y21" s="33" t="inlineStr">
        <is>
          <t>N</t>
        </is>
      </c>
      <c r="Z21" s="34" t="n"/>
      <c r="AA21" s="34" t="n"/>
      <c r="AB21" s="33" t="inlineStr">
        <is>
          <t>figures/hp-batch2048-lrx4.png</t>
        </is>
      </c>
      <c r="AC21" s="33" t="inlineStr">
        <is>
          <t>đổi HAI yếu tố (batch và lr), không có khởi động lr; chạy trên Apple MPS: peak_mem_MB là mức cấp phát lớn nhất đo ở cuối mỗi epoch; grad_norm trước clip: TB các epoch 0.255, bước lớn nhất 14.8</t>
        </is>
      </c>
      <c r="AD21" s="35">
        <f>IF(P21="","",P21-LN(7))</f>
        <v>0.3231513399469137</v>
      </c>
      <c r="AE21" s="35">
        <f>IF(OR(T21="",S21=""),"",T21-S21)</f>
        <v>0.009710397129031989</v>
      </c>
      <c r="AF21" s="35">
        <f>IF(OR(V21="",Seeds!$C$8=""),"",V21-Seeds!$C$8)</f>
        <v>-0.2316051128686889</v>
      </c>
      <c r="AG21" s="35" t="str">
        <f>IF(OR(AF21="",Seeds!$C$10=""),"",IF(ABS(AF21)&gt;Seeds!$C$10,"Có","Không"))</f>
        <v>Có</v>
      </c>
    </row>
    <row r="22" ht="15" customHeight="1" s="20">
      <c r="A22" s="33" t="inlineStr">
        <is>
          <t>hp-wide</t>
        </is>
      </c>
      <c r="B22" s="33" t="inlineStr">
        <is>
          <t>hparam</t>
        </is>
      </c>
      <c r="C22" s="33" t="inlineStr">
        <is>
          <t>M-wide 54-512-256-7 (161 287 tham số)</t>
        </is>
      </c>
      <c r="D22" s="33" t="inlineStr">
        <is>
          <t>CE</t>
        </is>
      </c>
      <c r="E22" s="33" t="inlineStr">
        <is>
          <t>SGD+momentum</t>
        </is>
      </c>
      <c r="F22" s="33" t="n">
        <v>0.3</v>
      </c>
      <c r="G22" s="33" t="n">
        <v>0</v>
      </c>
      <c r="H22" s="33" t="n">
        <v>512</v>
      </c>
      <c r="I22" s="33" t="n">
        <v>20</v>
      </c>
      <c r="J22" s="33" t="inlineStr">
        <is>
          <t>512-256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1.918216604129913</v>
      </c>
      <c r="Q22" s="34" t="n">
        <v>0.1906464653189946</v>
      </c>
      <c r="R22" s="33" t="n">
        <v>20</v>
      </c>
      <c r="S22" s="34" t="n">
        <v>0.1576255120829371</v>
      </c>
      <c r="T22" s="34" t="n">
        <v>0.1906464653189946</v>
      </c>
      <c r="U22" s="34" t="n">
        <v>0.9240442331275145</v>
      </c>
      <c r="V22" s="34" t="n">
        <v>0.8775726807359291</v>
      </c>
      <c r="W22" s="33" t="n">
        <v>0.8410915125001338</v>
      </c>
      <c r="X22" s="33" t="n">
        <v>128.9482421875</v>
      </c>
      <c r="Y22" s="33" t="inlineStr">
        <is>
          <t>N</t>
        </is>
      </c>
      <c r="Z22" s="34" t="n"/>
      <c r="AA22" s="34" t="n"/>
      <c r="AB22" s="33" t="inlineStr">
        <is>
          <t>figures/hp-wide.png</t>
        </is>
      </c>
      <c r="AC22" s="33" t="inlineStr">
        <is>
          <t>chạy trên Apple MPS: peak_mem_MB là mức cấp phát lớn nhất đo ở cuối mỗi epoch; grad_norm trước clip: TB các epoch 0.344, bước lớn nhất 6.67</t>
        </is>
      </c>
      <c r="AD22" s="35">
        <f>IF(P22="","",P22-LN(7))</f>
        <v>-0.027693544925399882</v>
      </c>
      <c r="AE22" s="35">
        <f>IF(OR(T22="",S22=""),"",T22-S22)</f>
        <v>0.0330209532360575</v>
      </c>
      <c r="AF22" s="35">
        <f>IF(OR(V22="",Seeds!$C$8=""),"",V22-Seeds!$C$8)</f>
        <v>0.023605075151056254</v>
      </c>
      <c r="AG22" s="35" t="str">
        <f>IF(OR(AF22="",Seeds!$C$10=""),"",IF(ABS(AF22)&gt;Seeds!$C$10,"Có","Không"))</f>
        <v>Có</v>
      </c>
    </row>
    <row r="23" ht="15" customHeight="1" s="20">
      <c r="A23" s="33" t="inlineStr">
        <is>
          <t>hp-deep</t>
        </is>
      </c>
      <c r="B23" s="33" t="inlineStr">
        <is>
          <t>hparam</t>
        </is>
      </c>
      <c r="C23" s="33" t="inlineStr">
        <is>
          <t>M-deep 54-256-128-64-7 (55 687 tham số)</t>
        </is>
      </c>
      <c r="D23" s="33" t="inlineStr">
        <is>
          <t>CE</t>
        </is>
      </c>
      <c r="E23" s="33" t="inlineStr">
        <is>
          <t>SGD+momentum</t>
        </is>
      </c>
      <c r="F23" s="33" t="n">
        <v>0.3</v>
      </c>
      <c r="G23" s="33" t="n">
        <v>0</v>
      </c>
      <c r="H23" s="33" t="n">
        <v>512</v>
      </c>
      <c r="I23" s="33" t="n">
        <v>20</v>
      </c>
      <c r="J23" s="33" t="inlineStr">
        <is>
          <t>256-128-64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1.909942358419973</v>
      </c>
      <c r="Q23" s="34" t="n">
        <v>0.2174730900630096</v>
      </c>
      <c r="R23" s="33" t="n">
        <v>20</v>
      </c>
      <c r="S23" s="34" t="n">
        <v>0.194163861616965</v>
      </c>
      <c r="T23" s="34" t="n">
        <v>0.2174730900630096</v>
      </c>
      <c r="U23" s="34" t="n">
        <v>0.9131903358361481</v>
      </c>
      <c r="V23" s="34" t="n">
        <v>0.8433455974937418</v>
      </c>
      <c r="W23" s="33" t="n">
        <v>0.7367579124002077</v>
      </c>
      <c r="X23" s="33" t="n">
        <v>127.73974609375</v>
      </c>
      <c r="Y23" s="33" t="inlineStr">
        <is>
          <t>N</t>
        </is>
      </c>
      <c r="Z23" s="34" t="n"/>
      <c r="AA23" s="34" t="n"/>
      <c r="AB23" s="33" t="inlineStr">
        <is>
          <t>figures/hp-deep.png</t>
        </is>
      </c>
      <c r="AC23" s="33" t="inlineStr">
        <is>
          <t>chạy trên Apple MPS: peak_mem_MB là mức cấp phát lớn nhất đo ở cuối mỗi epoch; grad_norm trước clip: TB các epoch 0.372, bước lớn nhất 4.02</t>
        </is>
      </c>
      <c r="AD23" s="35">
        <f>IF(P23="","",P23-LN(7))</f>
        <v>-0.03596779063534061</v>
      </c>
      <c r="AE23" s="35">
        <f>IF(OR(T23="",S23=""),"",T23-S23)</f>
        <v>0.023309228446044578</v>
      </c>
      <c r="AF23" s="35">
        <f>IF(OR(V23="",Seeds!$C$8=""),"",V23-Seeds!$C$8)</f>
        <v>-0.010622008091131008</v>
      </c>
      <c r="AG23" s="35" t="str">
        <f>IF(OR(AF23="",Seeds!$C$10=""),"",IF(ABS(AF23)&gt;Seeds!$C$10,"Có","Không"))</f>
        <v>Không</v>
      </c>
    </row>
    <row r="24" ht="15" customHeight="1" s="20">
      <c r="A24" s="33" t="inlineStr">
        <is>
          <t>hp-wd1e-4</t>
        </is>
      </c>
      <c r="B24" s="33" t="inlineStr">
        <is>
          <t>hparam</t>
        </is>
      </c>
      <c r="C24" s="33" t="inlineStr">
        <is>
          <t>weight_decay=1e-4 (L2 trong SGD)</t>
        </is>
      </c>
      <c r="D24" s="33" t="inlineStr">
        <is>
          <t>CE</t>
        </is>
      </c>
      <c r="E24" s="33" t="inlineStr">
        <is>
          <t>SGD+momentum</t>
        </is>
      </c>
      <c r="F24" s="33" t="n">
        <v>0.3</v>
      </c>
      <c r="G24" s="33" t="n">
        <v>0.0001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2.269061489002227</v>
      </c>
      <c r="Q24" s="34" t="n">
        <v>0.2856766514917554</v>
      </c>
      <c r="R24" s="33" t="n">
        <v>18</v>
      </c>
      <c r="S24" s="34" t="n">
        <v>0.2810983834108434</v>
      </c>
      <c r="T24" s="34" t="n">
        <v>0.2934232893043663</v>
      </c>
      <c r="U24" s="34" t="n">
        <v>0.8829414169230438</v>
      </c>
      <c r="V24" s="34" t="n">
        <v>0.8107917687445544</v>
      </c>
      <c r="W24" s="33" t="n">
        <v>0.7454197770002793</v>
      </c>
      <c r="X24" s="33" t="n">
        <v>127.650390625</v>
      </c>
      <c r="Y24" s="33" t="inlineStr">
        <is>
          <t>N</t>
        </is>
      </c>
      <c r="Z24" s="34" t="n"/>
      <c r="AA24" s="34" t="n"/>
      <c r="AB24" s="33" t="inlineStr">
        <is>
          <t>figures/hp-wd1e-4.png</t>
        </is>
      </c>
      <c r="AC24" s="33" t="inlineStr">
        <is>
          <t>chạy trên Apple MPS: peak_mem_MB là mức cấp phát lớn nhất đo ở cuối mỗi epoch; grad_norm trước clip: TB các epoch 0.379, bước lớn nhất 2.87</t>
        </is>
      </c>
      <c r="AD24" s="35">
        <f>IF(P24="","",P24-LN(7))</f>
        <v>0.3231513399469137</v>
      </c>
      <c r="AE24" s="35">
        <f>IF(OR(T24="",S24=""),"",T24-S24)</f>
        <v>0.01232490589352292</v>
      </c>
      <c r="AF24" s="35">
        <f>IF(OR(V24="",Seeds!$C$8=""),"",V24-Seeds!$C$8)</f>
        <v>-0.04317583684031845</v>
      </c>
      <c r="AG24" s="35" t="str">
        <f>IF(OR(AF24="",Seeds!$C$10=""),"",IF(ABS(AF24)&gt;Seeds!$C$10,"Có","Không"))</f>
        <v>Có</v>
      </c>
    </row>
    <row r="25" ht="15" customHeight="1" s="20">
      <c r="A25" s="33" t="inlineStr">
        <is>
          <t>hp-ep40</t>
        </is>
      </c>
      <c r="B25" s="33" t="inlineStr">
        <is>
          <t>hparam</t>
        </is>
      </c>
      <c r="C25" s="33" t="inlineStr">
        <is>
          <t>40 epoch thay vì 20</t>
        </is>
      </c>
      <c r="D25" s="33" t="inlineStr">
        <is>
          <t>CE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512</v>
      </c>
      <c r="I25" s="33" t="n">
        <v>40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2.269061489002227</v>
      </c>
      <c r="Q25" s="34" t="n">
        <v>0.2044302418259611</v>
      </c>
      <c r="R25" s="33" t="n">
        <v>35</v>
      </c>
      <c r="S25" s="34" t="n">
        <v>0.1714864180241008</v>
      </c>
      <c r="T25" s="34" t="n">
        <v>0.2062061533291157</v>
      </c>
      <c r="U25" s="34" t="n">
        <v>0.9215378326628084</v>
      </c>
      <c r="V25" s="34" t="n">
        <v>0.8675807902107877</v>
      </c>
      <c r="W25" s="33" t="n">
        <v>0.683533442600492</v>
      </c>
      <c r="X25" s="33" t="n">
        <v>127.650390625</v>
      </c>
      <c r="Y25" s="33" t="inlineStr">
        <is>
          <t>N</t>
        </is>
      </c>
      <c r="Z25" s="34" t="n"/>
      <c r="AA25" s="34" t="n"/>
      <c r="AB25" s="33" t="inlineStr">
        <is>
          <t>figures/hp-ep40.png</t>
        </is>
      </c>
      <c r="AC25" s="33" t="inlineStr">
        <is>
          <t>khác số epoch so với baseline (đây là yếu tố đang thử); chạy trên Apple MPS: peak_mem_MB là mức cấp phát lớn nhất đo ở cuối mỗi epoch; grad_norm trước clip: TB các epoch 0.347, bước lớn nhất 2.87</t>
        </is>
      </c>
      <c r="AD25" s="35">
        <f>IF(P25="","",P25-LN(7))</f>
        <v>0.3231513399469137</v>
      </c>
      <c r="AE25" s="35">
        <f>IF(OR(T25="",S25=""),"",T25-S25)</f>
        <v>0.03471973530501485</v>
      </c>
      <c r="AF25" s="35">
        <f>IF(OR(V25="",Seeds!$C$8=""),"",V25-Seeds!$C$8)</f>
        <v>0.013613184625914876</v>
      </c>
      <c r="AG25" s="35" t="str">
        <f>IF(OR(AF25="",Seeds!$C$10=""),"",IF(ABS(AF25)&gt;Seeds!$C$10,"Có","Không"))</f>
        <v>Không</v>
      </c>
    </row>
    <row r="26" ht="15" customHeight="1" s="20">
      <c r="A26" s="33" t="inlineStr">
        <is>
          <t>drop-0.1</t>
        </is>
      </c>
      <c r="B26" s="33" t="inlineStr">
        <is>
          <t>dropout</t>
        </is>
      </c>
      <c r="C26" s="33" t="inlineStr">
        <is>
          <t>dropout q=0.1 sau ReLU của hai lớp ẩn</t>
        </is>
      </c>
      <c r="D26" s="33" t="inlineStr">
        <is>
          <t>CE</t>
        </is>
      </c>
      <c r="E26" s="33" t="inlineStr">
        <is>
          <t>SGD+momentum</t>
        </is>
      </c>
      <c r="F26" s="33" t="n">
        <v>0.3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0.1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2.269061489002227</v>
      </c>
      <c r="Q26" s="34" t="n">
        <v>0.2450038041364936</v>
      </c>
      <c r="R26" s="33" t="n">
        <v>20</v>
      </c>
      <c r="S26" s="34" t="n">
        <v>0.2303626636903711</v>
      </c>
      <c r="T26" s="34" t="n">
        <v>0.2450038041364936</v>
      </c>
      <c r="U26" s="34" t="n">
        <v>0.9015726856134765</v>
      </c>
      <c r="V26" s="34" t="n">
        <v>0.8308791667859474</v>
      </c>
      <c r="W26" s="33" t="n">
        <v>0.6611320895994141</v>
      </c>
      <c r="X26" s="33" t="n">
        <v>127.650390625</v>
      </c>
      <c r="Y26" s="33" t="inlineStr">
        <is>
          <t>N</t>
        </is>
      </c>
      <c r="Z26" s="34" t="n"/>
      <c r="AA26" s="34" t="n"/>
      <c r="AB26" s="33" t="inlineStr">
        <is>
          <t>figures/drop-0.1.png</t>
        </is>
      </c>
      <c r="AC26" s="33" t="inlineStr">
        <is>
          <t>chạy trên Apple MPS: peak_mem_MB là mức cấp phát lớn nhất đo ở cuối mỗi epoch; grad_norm trước clip: TB các epoch 0.292, bước lớn nhất 2.94</t>
        </is>
      </c>
      <c r="AD26" s="35">
        <f>IF(P26="","",P26-LN(7))</f>
        <v>0.3231513399469137</v>
      </c>
      <c r="AE26" s="35">
        <f>IF(OR(T26="",S26=""),"",T26-S26)</f>
        <v>0.01464114044612247</v>
      </c>
      <c r="AF26" s="35">
        <f>IF(OR(V26="",Seeds!$C$8=""),"",V26-Seeds!$C$8)</f>
        <v>-0.023088438798925415</v>
      </c>
      <c r="AG26" s="35" t="str">
        <f>IF(OR(AF26="",Seeds!$C$10=""),"",IF(ABS(AF26)&gt;Seeds!$C$10,"Có","Không"))</f>
        <v>Không</v>
      </c>
    </row>
    <row r="27" ht="15" customHeight="1" s="20">
      <c r="A27" s="33" t="inlineStr">
        <is>
          <t>drop-0.3</t>
        </is>
      </c>
      <c r="B27" s="33" t="inlineStr">
        <is>
          <t>dropout</t>
        </is>
      </c>
      <c r="C27" s="33" t="inlineStr">
        <is>
          <t>dropout q=0.3 sau ReLU của hai lớp ẩn</t>
        </is>
      </c>
      <c r="D27" s="33" t="inlineStr">
        <is>
          <t>CE</t>
        </is>
      </c>
      <c r="E27" s="33" t="inlineStr">
        <is>
          <t>SGD+momentum</t>
        </is>
      </c>
      <c r="F27" s="33" t="n">
        <v>0.3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0.3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2.269061489002227</v>
      </c>
      <c r="Q27" s="34" t="n">
        <v>0.3150996228318594</v>
      </c>
      <c r="R27" s="33" t="n">
        <v>20</v>
      </c>
      <c r="S27" s="34" t="n">
        <v>0.3077683792935166</v>
      </c>
      <c r="T27" s="34" t="n">
        <v>0.3150996228318594</v>
      </c>
      <c r="U27" s="34" t="n">
        <v>0.8694735483315763</v>
      </c>
      <c r="V27" s="34" t="n">
        <v>0.7749954341699679</v>
      </c>
      <c r="W27" s="33" t="n">
        <v>0.6185834479012555</v>
      </c>
      <c r="X27" s="33" t="n">
        <v>127.650390625</v>
      </c>
      <c r="Y27" s="33" t="inlineStr">
        <is>
          <t>N</t>
        </is>
      </c>
      <c r="Z27" s="34" t="n"/>
      <c r="AA27" s="34" t="n"/>
      <c r="AB27" s="33" t="inlineStr">
        <is>
          <t>figures/drop-0.3.png</t>
        </is>
      </c>
      <c r="AC27" s="33" t="inlineStr">
        <is>
          <t>chạy trên Apple MPS: peak_mem_MB là mức cấp phát lớn nhất đo ở cuối mỗi epoch; grad_norm trước clip: TB các epoch 0.285, bước lớn nhất 3.1</t>
        </is>
      </c>
      <c r="AD27" s="35">
        <f>IF(P27="","",P27-LN(7))</f>
        <v>0.3231513399469137</v>
      </c>
      <c r="AE27" s="35">
        <f>IF(OR(T27="",S27=""),"",T27-S27)</f>
        <v>0.007331243538342802</v>
      </c>
      <c r="AF27" s="35">
        <f>IF(OR(V27="",Seeds!$C$8=""),"",V27-Seeds!$C$8)</f>
        <v>-0.07897217141490498</v>
      </c>
      <c r="AG27" s="35" t="str">
        <f>IF(OR(AF27="",Seeds!$C$10=""),"",IF(ABS(AF27)&gt;Seeds!$C$10,"Có","Không"))</f>
        <v>Có</v>
      </c>
    </row>
    <row r="28" ht="15" customHeight="1" s="20">
      <c r="A28" s="33" t="inlineStr">
        <is>
          <t>drop-0.5</t>
        </is>
      </c>
      <c r="B28" s="33" t="inlineStr">
        <is>
          <t>dropout</t>
        </is>
      </c>
      <c r="C28" s="33" t="inlineStr">
        <is>
          <t>dropout q=0.5 sau ReLU của hai lớp ẩn</t>
        </is>
      </c>
      <c r="D28" s="33" t="inlineStr">
        <is>
          <t>CE</t>
        </is>
      </c>
      <c r="E28" s="33" t="inlineStr">
        <is>
          <t>SGD+momentum</t>
        </is>
      </c>
      <c r="F28" s="33" t="n">
        <v>0.3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0.5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2.269061489002227</v>
      </c>
      <c r="Q28" s="34" t="n">
        <v>0.4202400506746876</v>
      </c>
      <c r="R28" s="33" t="n">
        <v>20</v>
      </c>
      <c r="S28" s="34" t="n">
        <v>0.4161892945232473</v>
      </c>
      <c r="T28" s="34" t="n">
        <v>0.4202400506746876</v>
      </c>
      <c r="U28" s="34" t="n">
        <v>0.8230997611927454</v>
      </c>
      <c r="V28" s="34" t="n">
        <v>0.6574438624882176</v>
      </c>
      <c r="W28" s="33" t="n">
        <v>0.6009744227994815</v>
      </c>
      <c r="X28" s="33" t="n">
        <v>127.650390625</v>
      </c>
      <c r="Y28" s="33" t="inlineStr">
        <is>
          <t>N</t>
        </is>
      </c>
      <c r="Z28" s="34" t="n"/>
      <c r="AA28" s="34" t="n"/>
      <c r="AB28" s="33" t="inlineStr">
        <is>
          <t>figures/drop-0.5.png</t>
        </is>
      </c>
      <c r="AC28" s="33" t="inlineStr">
        <is>
          <t>chạy trên Apple MPS: peak_mem_MB là mức cấp phát lớn nhất đo ở cuối mỗi epoch; grad_norm trước clip: TB các epoch 0.294, bước lớn nhất 3.4</t>
        </is>
      </c>
      <c r="AD28" s="35">
        <f>IF(P28="","",P28-LN(7))</f>
        <v>0.3231513399469137</v>
      </c>
      <c r="AE28" s="35">
        <f>IF(OR(T28="",S28=""),"",T28-S28)</f>
        <v>0.0040507561514402934</v>
      </c>
      <c r="AF28" s="35">
        <f>IF(OR(V28="",Seeds!$C$8=""),"",V28-Seeds!$C$8)</f>
        <v>-0.1965237430966552</v>
      </c>
      <c r="AG28" s="35" t="str">
        <f>IF(OR(AF28="",Seeds!$C$10=""),"",IF(ABS(AF28)&gt;Seeds!$C$10,"Có","Không"))</f>
        <v>Có</v>
      </c>
    </row>
    <row r="29" ht="15" customHeight="1" s="20">
      <c r="A29" s="33" t="inlineStr">
        <is>
          <t>clip-normal</t>
        </is>
      </c>
      <c r="B29" s="33" t="inlineStr">
        <is>
          <t>clipping</t>
        </is>
      </c>
      <c r="C29" s="33" t="inlineStr">
        <is>
          <t>clip c=0.18 ở lr baseline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n">
        <v>0.18</v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2.269061489002227</v>
      </c>
      <c r="Q29" s="34" t="n">
        <v>0.2380802506375253</v>
      </c>
      <c r="R29" s="33" t="n">
        <v>18</v>
      </c>
      <c r="S29" s="34" t="n">
        <v>0.2189920834519872</v>
      </c>
      <c r="T29" s="34" t="n">
        <v>0.2403313660231297</v>
      </c>
      <c r="U29" s="34" t="n">
        <v>0.9047029969234741</v>
      </c>
      <c r="V29" s="34" t="n">
        <v>0.8515530579929494</v>
      </c>
      <c r="W29" s="33" t="n">
        <v>0.574704706349803</v>
      </c>
      <c r="X29" s="33" t="n">
        <v>127.650390625</v>
      </c>
      <c r="Y29" s="33" t="inlineStr">
        <is>
          <t>N</t>
        </is>
      </c>
      <c r="Z29" s="34" t="n"/>
      <c r="AA29" s="34" t="n"/>
      <c r="AB29" s="33" t="inlineStr">
        <is>
          <t>figures/clip-normal.png</t>
        </is>
      </c>
      <c r="AC29" s="33" t="inlineStr">
        <is>
          <t>c = 0.5 x trung vị grad_norm của base-s1; chạy trên Apple MPS: peak_mem_MB là mức cấp phát lớn nhất đo ở cuối mỗi epoch; grad_norm trước clip: TB các epoch 0.613, bước lớn nhất 2.87; tỉ lệ bước bị clip 100%</t>
        </is>
      </c>
      <c r="AD29" s="35">
        <f>IF(P29="","",P29-LN(7))</f>
        <v>0.3231513399469137</v>
      </c>
      <c r="AE29" s="35">
        <f>IF(OR(T29="",S29=""),"",T29-S29)</f>
        <v>0.02133928257114251</v>
      </c>
      <c r="AF29" s="35">
        <f>IF(OR(V29="",Seeds!$C$8=""),"",V29-Seeds!$C$8)</f>
        <v>-0.0024145475919233883</v>
      </c>
      <c r="AG29" s="35" t="str">
        <f>IF(OR(AF29="",Seeds!$C$10=""),"",IF(ABS(AF29)&gt;Seeds!$C$10,"Có","Không"))</f>
        <v>Không</v>
      </c>
    </row>
    <row r="30" ht="15" customHeight="1" s="20">
      <c r="A30" s="33" t="inlineStr">
        <is>
          <t>clip-highlr-noclip</t>
        </is>
      </c>
      <c r="B30" s="33" t="inlineStr">
        <is>
          <t>clipping</t>
        </is>
      </c>
      <c r="C30" s="33" t="inlineStr">
        <is>
          <t>lr x10 = 3, không clip (phản chứng)</t>
        </is>
      </c>
      <c r="D30" s="33" t="inlineStr">
        <is>
          <t>CE</t>
        </is>
      </c>
      <c r="E30" s="33" t="inlineStr">
        <is>
          <t>SGD+momentum</t>
        </is>
      </c>
      <c r="F30" s="33" t="n">
        <v>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2.269061489002227</v>
      </c>
      <c r="Q30" s="34" t="n">
        <v>1.207174816095891</v>
      </c>
      <c r="R30" s="33" t="n">
        <v>19</v>
      </c>
      <c r="S30" s="34" t="n">
        <v>1.210364317399445</v>
      </c>
      <c r="T30" s="34" t="n">
        <v>1.210365402265341</v>
      </c>
      <c r="U30" s="34" t="n">
        <v>0.4875970826789441</v>
      </c>
      <c r="V30" s="34" t="n">
        <v>0.09364999018625454</v>
      </c>
      <c r="W30" s="33" t="n">
        <v>0.5700356229004683</v>
      </c>
      <c r="X30" s="33" t="n">
        <v>127.650390625</v>
      </c>
      <c r="Y30" s="33" t="inlineStr">
        <is>
          <t>N</t>
        </is>
      </c>
      <c r="Z30" s="34" t="n"/>
      <c r="AA30" s="34" t="n"/>
      <c r="AB30" s="33" t="inlineStr">
        <is>
          <t>figures/clip-highlr-noclip.png</t>
        </is>
      </c>
      <c r="AC30" s="33" t="inlineStr">
        <is>
          <t>đối chứng cho clip-highlr: chỉ đổi lr so với baseline; chạy trên Apple MPS: peak_mem_MB là mức cấp phát lớn nhất đo ở cuối mỗi epoch; grad_norm trước clip: TB các epoch 0.100, bước lớn nhất 164</t>
        </is>
      </c>
      <c r="AD30" s="35">
        <f>IF(P30="","",P30-LN(7))</f>
        <v>0.3231513399469137</v>
      </c>
      <c r="AE30" s="35">
        <f>IF(OR(T30="",S30=""),"",T30-S30)</f>
        <v>1.0848658964501823e-06</v>
      </c>
      <c r="AF30" s="35">
        <f>IF(OR(V30="",Seeds!$C$8=""),"",V30-Seeds!$C$8)</f>
        <v>-0.7603176153986183</v>
      </c>
      <c r="AG30" s="35" t="str">
        <f>IF(OR(AF30="",Seeds!$C$10=""),"",IF(ABS(AF30)&gt;Seeds!$C$10,"Có","Không"))</f>
        <v>Có</v>
      </c>
    </row>
    <row r="31" ht="15" customHeight="1" s="20">
      <c r="A31" s="33" t="inlineStr">
        <is>
          <t>clip-highlr</t>
        </is>
      </c>
      <c r="B31" s="33" t="inlineStr">
        <is>
          <t>clipping</t>
        </is>
      </c>
      <c r="C31" s="33" t="inlineStr">
        <is>
          <t>lr x10 = 3, clip c=0.18</t>
        </is>
      </c>
      <c r="D31" s="33" t="inlineStr">
        <is>
          <t>CE</t>
        </is>
      </c>
      <c r="E31" s="33" t="inlineStr">
        <is>
          <t>SGD+momentum</t>
        </is>
      </c>
      <c r="F31" s="33" t="n">
        <v>3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n">
        <v>0.18</v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2.269061489002227</v>
      </c>
      <c r="Q31" s="34" t="n">
        <v>0.6459468648606084</v>
      </c>
      <c r="R31" s="33" t="n">
        <v>15</v>
      </c>
      <c r="S31" s="34" t="n">
        <v>0.7676517315137762</v>
      </c>
      <c r="T31" s="34" t="n">
        <v>0.7710602817086888</v>
      </c>
      <c r="U31" s="34" t="n">
        <v>0.7326864740431575</v>
      </c>
      <c r="V31" s="34" t="n">
        <v>0.449383188029977</v>
      </c>
      <c r="W31" s="33" t="n">
        <v>0.5696682750505715</v>
      </c>
      <c r="X31" s="33" t="n">
        <v>127.650390625</v>
      </c>
      <c r="Y31" s="33" t="inlineStr">
        <is>
          <t>N</t>
        </is>
      </c>
      <c r="Z31" s="34" t="n"/>
      <c r="AA31" s="34" t="n"/>
      <c r="AB31" s="33" t="inlineStr">
        <is>
          <t>figures/clip-highlr.png</t>
        </is>
      </c>
      <c r="AC31" s="33" t="inlineStr">
        <is>
          <t>đổi HAI yếu tố so với baseline (lr và clip); so trực tiếp với clip-highlr-noclip; chạy trên Apple MPS: peak_mem_MB là mức cấp phát lớn nhất đo ở cuối mỗi epoch; grad_norm trước clip: TB các epoch 0.270, bước lớn nhất 3.34; tỉ lệ bước bị clip 85%</t>
        </is>
      </c>
      <c r="AD31" s="35">
        <f>IF(P31="","",P31-LN(7))</f>
        <v>0.3231513399469137</v>
      </c>
      <c r="AE31" s="35">
        <f>IF(OR(T31="",S31=""),"",T31-S31)</f>
        <v>0.0034085501949125963</v>
      </c>
      <c r="AF31" s="35">
        <f>IF(OR(V31="",Seeds!$C$8=""),"",V31-Seeds!$C$8)</f>
        <v>-0.4045844175548959</v>
      </c>
      <c r="AG31" s="35" t="str">
        <f>IF(OR(AF31="",Seeds!$C$10=""),"",IF(ABS(AF31)&gt;Seeds!$C$10,"Có","Không"))</f>
        <v>Có</v>
      </c>
    </row>
    <row r="32" ht="15" customHeight="1" s="20">
      <c r="A32" s="33" t="inlineStr">
        <is>
          <t>amp-fp16</t>
        </is>
      </c>
      <c r="B32" s="33" t="inlineStr">
        <is>
          <t>amp</t>
        </is>
      </c>
      <c r="C32" s="33" t="inlineStr">
        <is>
          <t>mixed precision FP16 + GradScaler</t>
        </is>
      </c>
      <c r="D32" s="33" t="inlineStr">
        <is>
          <t>CE</t>
        </is>
      </c>
      <c r="E32" s="33" t="inlineStr">
        <is>
          <t>SGD+momentum</t>
        </is>
      </c>
      <c r="F32" s="33" t="n">
        <v>0.3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fp16</t>
        </is>
      </c>
      <c r="N32" s="33" t="inlineStr">
        <is>
          <t>he</t>
        </is>
      </c>
      <c r="O32" s="33" t="n">
        <v>1</v>
      </c>
      <c r="P32" s="34" t="n">
        <v>2.269061489002227</v>
      </c>
      <c r="Q32" s="34" t="n">
        <v>0.2248309095981843</v>
      </c>
      <c r="R32" s="33" t="n">
        <v>20</v>
      </c>
      <c r="S32" s="34" t="n">
        <v>0.1957334124038877</v>
      </c>
      <c r="T32" s="34" t="n">
        <v>0.2248309095981843</v>
      </c>
      <c r="U32" s="34" t="n">
        <v>0.912555667907317</v>
      </c>
      <c r="V32" s="34" t="n">
        <v>0.8580401617004787</v>
      </c>
      <c r="W32" s="33" t="n">
        <v>0.891915629250434</v>
      </c>
      <c r="X32" s="33" t="n">
        <v>127.650634765625</v>
      </c>
      <c r="Y32" s="33" t="inlineStr">
        <is>
          <t>N</t>
        </is>
      </c>
      <c r="Z32" s="34" t="n"/>
      <c r="AA32" s="34" t="n"/>
      <c r="AB32" s="33" t="inlineStr">
        <is>
          <t>figures/amp-fp16.png</t>
        </is>
      </c>
      <c r="AC32" s="33" t="inlineStr">
        <is>
          <t>GPU: Apple MPS; GradScaler bỏ qua 3 bước do gradient không hữu hạn; chạy trên Apple MPS: peak_mem_MB là mức cấp phát lớn nhất đo ở cuối mỗi epoch; grad_norm trước clip: TB các epoch 0.354, bước lớn nhất 2.87</t>
        </is>
      </c>
      <c r="AD32" s="35">
        <f>IF(P32="","",P32-LN(7))</f>
        <v>0.3231513399469137</v>
      </c>
      <c r="AE32" s="35">
        <f>IF(OR(T32="",S32=""),"",T32-S32)</f>
        <v>0.02909749719429655</v>
      </c>
      <c r="AF32" s="35">
        <f>IF(OR(V32="",Seeds!$C$8=""),"",V32-Seeds!$C$8)</f>
        <v>0.004072556115605863</v>
      </c>
      <c r="AG32" s="35" t="str">
        <f>IF(OR(AF32="",Seeds!$C$10=""),"",IF(ABS(AF32)&gt;Seeds!$C$10,"Có","Không"))</f>
        <v>Không</v>
      </c>
    </row>
    <row r="33" ht="15" customHeight="1" s="20">
      <c r="A33" s="33" t="inlineStr">
        <is>
          <t>amp-bf16</t>
        </is>
      </c>
      <c r="B33" s="33" t="inlineStr">
        <is>
          <t>amp</t>
        </is>
      </c>
      <c r="C33" s="33" t="inlineStr">
        <is>
          <t>mixed precision BF16 (không GradScaler)</t>
        </is>
      </c>
      <c r="D33" s="33" t="inlineStr">
        <is>
          <t>CE</t>
        </is>
      </c>
      <c r="E33" s="33" t="inlineStr">
        <is>
          <t>SGD+momentum</t>
        </is>
      </c>
      <c r="F33" s="33" t="n">
        <v>0.3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bf16</t>
        </is>
      </c>
      <c r="N33" s="33" t="inlineStr">
        <is>
          <t>he</t>
        </is>
      </c>
      <c r="O33" s="33" t="n">
        <v>1</v>
      </c>
      <c r="P33" s="34" t="n">
        <v>2.269061489002227</v>
      </c>
      <c r="Q33" s="34" t="n">
        <v>0.2263499826006275</v>
      </c>
      <c r="R33" s="33" t="n">
        <v>20</v>
      </c>
      <c r="S33" s="34" t="n">
        <v>0.2004595634561539</v>
      </c>
      <c r="T33" s="34" t="n">
        <v>0.2263499826006275</v>
      </c>
      <c r="U33" s="34" t="n">
        <v>0.9102213807792431</v>
      </c>
      <c r="V33" s="34" t="n">
        <v>0.8516377078787506</v>
      </c>
      <c r="W33" s="33" t="n">
        <v>0.654635420699924</v>
      </c>
      <c r="X33" s="33" t="n">
        <v>127.650146484375</v>
      </c>
      <c r="Y33" s="33" t="inlineStr">
        <is>
          <t>N</t>
        </is>
      </c>
      <c r="Z33" s="34" t="n"/>
      <c r="AA33" s="34" t="n"/>
      <c r="AB33" s="33" t="inlineStr">
        <is>
          <t>figures/amp-bf16.png</t>
        </is>
      </c>
      <c r="AC33" s="33" t="inlineStr">
        <is>
          <t>GPU: Apple MPS; chạy trên Apple MPS: peak_mem_MB là mức cấp phát lớn nhất đo ở cuối mỗi epoch; grad_norm trước clip: TB các epoch 0.353, bước lớn nhất 2.87</t>
        </is>
      </c>
      <c r="AD33" s="35">
        <f>IF(P33="","",P33-LN(7))</f>
        <v>0.3231513399469137</v>
      </c>
      <c r="AE33" s="35">
        <f>IF(OR(T33="",S33=""),"",T33-S33)</f>
        <v>0.025890419144473542</v>
      </c>
      <c r="AF33" s="35">
        <f>IF(OR(V33="",Seeds!$C$8=""),"",V33-Seeds!$C$8)</f>
        <v>-0.0023298977061222415</v>
      </c>
      <c r="AG33" s="35" t="str">
        <f>IF(OR(AF33="",Seeds!$C$10=""),"",IF(ABS(AF33)&gt;Seeds!$C$10,"Có","Không"))</f>
        <v>Không</v>
      </c>
    </row>
    <row r="34" ht="15" customHeight="1" s="20">
      <c r="A34" s="33" t="inlineStr">
        <is>
          <t>init-zeros</t>
        </is>
      </c>
      <c r="B34" s="33" t="inlineStr">
        <is>
          <t>init</t>
        </is>
      </c>
      <c r="C34" s="33" t="inlineStr">
        <is>
          <t>khởi tạo zeros thay cho he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zeros</t>
        </is>
      </c>
      <c r="O34" s="33" t="n">
        <v>1</v>
      </c>
      <c r="P34" s="34" t="n">
        <v>1.945910221969057</v>
      </c>
      <c r="Q34" s="34" t="n">
        <v>1.20524382505587</v>
      </c>
      <c r="R34" s="33" t="n">
        <v>9</v>
      </c>
      <c r="S34" s="34" t="n">
        <v>1.206726571072074</v>
      </c>
      <c r="T34" s="34" t="n">
        <v>1.206727969051703</v>
      </c>
      <c r="U34" s="34" t="n">
        <v>0.4875970826789441</v>
      </c>
      <c r="V34" s="34" t="n">
        <v>0.09364999018625454</v>
      </c>
      <c r="W34" s="33" t="n">
        <v>0.5803021084495412</v>
      </c>
      <c r="X34" s="33" t="n">
        <v>127.8330078125</v>
      </c>
      <c r="Y34" s="33" t="inlineStr">
        <is>
          <t>N</t>
        </is>
      </c>
      <c r="Z34" s="34" t="n"/>
      <c r="AA34" s="34" t="n"/>
      <c r="AB34" s="33" t="inlineStr">
        <is>
          <t>figures/init-zeros.png</t>
        </is>
      </c>
      <c r="AC34" s="33" t="inlineStr">
        <is>
          <t>bước 0: std sau ReLU 1 / ReLU 2 / logits = 0.0000 / 0.0000 / 0.0000; chạy trên Apple MPS: peak_mem_MB là mức cấp phát lớn nhất đo ở cuối mỗi epoch; grad_norm trước clip: TB các epoch 0.038, bước lớn nhất 0.498</t>
        </is>
      </c>
      <c r="AD34" s="35">
        <f>IF(P34="","",P34-LN(7))</f>
        <v>7.291374393147976e-08</v>
      </c>
      <c r="AE34" s="35">
        <f>IF(OR(T34="",S34=""),"",T34-S34)</f>
        <v>1.3979796285035206e-06</v>
      </c>
      <c r="AF34" s="35">
        <f>IF(OR(V34="",Seeds!$C$8=""),"",V34-Seeds!$C$8)</f>
        <v>-0.7603176153986183</v>
      </c>
      <c r="AG34" s="35" t="str">
        <f>IF(OR(AF34="",Seeds!$C$10=""),"",IF(ABS(AF34)&gt;Seeds!$C$10,"Có","Không"))</f>
        <v>Có</v>
      </c>
    </row>
    <row r="35" ht="15" customHeight="1" s="20">
      <c r="A35" s="33" t="inlineStr">
        <is>
          <t>init-normal</t>
        </is>
      </c>
      <c r="B35" s="33" t="inlineStr">
        <is>
          <t>init</t>
        </is>
      </c>
      <c r="C35" s="33" t="inlineStr">
        <is>
          <t>khởi tạo normal thay cho he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normal</t>
        </is>
      </c>
      <c r="O35" s="33" t="n">
        <v>1</v>
      </c>
      <c r="P35" s="34" t="n">
        <v>1.945995543289866</v>
      </c>
      <c r="Q35" s="34" t="n">
        <v>0.215784657337726</v>
      </c>
      <c r="R35" s="33" t="n">
        <v>20</v>
      </c>
      <c r="S35" s="34" t="n">
        <v>0.1870496061549571</v>
      </c>
      <c r="T35" s="34" t="n">
        <v>0.215784657337726</v>
      </c>
      <c r="U35" s="34" t="n">
        <v>0.9162345904778296</v>
      </c>
      <c r="V35" s="34" t="n">
        <v>0.8655667449495715</v>
      </c>
      <c r="W35" s="33" t="n">
        <v>0.5846908624997014</v>
      </c>
      <c r="X35" s="33" t="n">
        <v>127.8330078125</v>
      </c>
      <c r="Y35" s="33" t="inlineStr">
        <is>
          <t>N</t>
        </is>
      </c>
      <c r="Z35" s="34" t="n"/>
      <c r="AA35" s="34" t="n"/>
      <c r="AB35" s="33" t="inlineStr">
        <is>
          <t>figures/init-normal.png</t>
        </is>
      </c>
      <c r="AC35" s="33" t="inlineStr">
        <is>
          <t>bước 0: std sau ReLU 1 / ReLU 2 / logits = 0.0203 / 0.0022 / 0.0003; chạy trên Apple MPS: peak_mem_MB là mức cấp phát lớn nhất đo ở cuối mỗi epoch; grad_norm trước clip: TB các epoch 0.351, bước lớn nhất 0.795</t>
        </is>
      </c>
      <c r="AD35" s="35">
        <f>IF(P35="","",P35-LN(7))</f>
        <v>8.539423455244943e-05</v>
      </c>
      <c r="AE35" s="35">
        <f>IF(OR(T35="",S35=""),"",T35-S35)</f>
        <v>0.028735051182768895</v>
      </c>
      <c r="AF35" s="35">
        <f>IF(OR(V35="",Seeds!$C$8=""),"",V35-Seeds!$C$8)</f>
        <v>0.011599139364698696</v>
      </c>
      <c r="AG35" s="35" t="str">
        <f>IF(OR(AF35="",Seeds!$C$10=""),"",IF(ABS(AF35)&gt;Seeds!$C$10,"Có","Không"))</f>
        <v>Không</v>
      </c>
    </row>
    <row r="36" ht="15" customHeight="1" s="20">
      <c r="A36" s="33" t="inlineStr">
        <is>
          <t>init-xavier</t>
        </is>
      </c>
      <c r="B36" s="33" t="inlineStr">
        <is>
          <t>init</t>
        </is>
      </c>
      <c r="C36" s="33" t="inlineStr">
        <is>
          <t>khởi tạo xavier thay cho he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xavier</t>
        </is>
      </c>
      <c r="O36" s="33" t="n">
        <v>1</v>
      </c>
      <c r="P36" s="34" t="n">
        <v>2.022176100642938</v>
      </c>
      <c r="Q36" s="34" t="n">
        <v>0.219663786802462</v>
      </c>
      <c r="R36" s="33" t="n">
        <v>20</v>
      </c>
      <c r="S36" s="34" t="n">
        <v>0.1932648148011291</v>
      </c>
      <c r="T36" s="34" t="n">
        <v>0.219663786802462</v>
      </c>
      <c r="U36" s="34" t="n">
        <v>0.9128676233299627</v>
      </c>
      <c r="V36" s="34" t="n">
        <v>0.8650538645349555</v>
      </c>
      <c r="W36" s="33" t="n">
        <v>0.5848520146497321</v>
      </c>
      <c r="X36" s="33" t="n">
        <v>127.8330078125</v>
      </c>
      <c r="Y36" s="33" t="inlineStr">
        <is>
          <t>N</t>
        </is>
      </c>
      <c r="Z36" s="34" t="n"/>
      <c r="AA36" s="34" t="n"/>
      <c r="AB36" s="33" t="inlineStr">
        <is>
          <t>figures/init-xavier.png</t>
        </is>
      </c>
      <c r="AC36" s="33" t="inlineStr">
        <is>
          <t>bước 0: std sau ReLU 1 / ReLU 2 / logits = 0.1628 / 0.1248 / 0.1916; chạy trên Apple MPS: peak_mem_MB là mức cấp phát lớn nhất đo ở cuối mỗi epoch; grad_norm trước clip: TB các epoch 0.355, bước lớn nhất 1.24</t>
        </is>
      </c>
      <c r="AD36" s="35">
        <f>IF(P36="","",P36-LN(7))</f>
        <v>0.07626595158762428</v>
      </c>
      <c r="AE36" s="35">
        <f>IF(OR(T36="",S36=""),"",T36-S36)</f>
        <v>0.026398972001332816</v>
      </c>
      <c r="AF36" s="35">
        <f>IF(OR(V36="",Seeds!$C$8=""),"",V36-Seeds!$C$8)</f>
        <v>0.01108625895008264</v>
      </c>
      <c r="AG36" s="35" t="str">
        <f>IF(OR(AF36="",Seeds!$C$10=""),"",IF(ABS(AF36)&gt;Seeds!$C$10,"Có","Không"))</f>
        <v>Không</v>
      </c>
    </row>
    <row r="37" ht="15" customHeight="1" s="20">
      <c r="A37" s="33" t="inlineStr">
        <is>
          <t>init-default</t>
        </is>
      </c>
      <c r="B37" s="33" t="inlineStr">
        <is>
          <t>init</t>
        </is>
      </c>
      <c r="C37" s="33" t="inlineStr">
        <is>
          <t>khởi tạo default thay cho he</t>
        </is>
      </c>
      <c r="D37" s="33" t="inlineStr">
        <is>
          <t>CE</t>
        </is>
      </c>
      <c r="E37" s="33" t="inlineStr">
        <is>
          <t>SGD+momentum</t>
        </is>
      </c>
      <c r="F37" s="33" t="n">
        <v>0.3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default</t>
        </is>
      </c>
      <c r="O37" s="33" t="n">
        <v>1</v>
      </c>
      <c r="P37" s="34" t="n">
        <v>1.983035774614224</v>
      </c>
      <c r="Q37" s="34" t="n">
        <v>0.2182824397922673</v>
      </c>
      <c r="R37" s="33" t="n">
        <v>19</v>
      </c>
      <c r="S37" s="34" t="n">
        <v>0.2005120025738913</v>
      </c>
      <c r="T37" s="34" t="n">
        <v>0.2251767179251502</v>
      </c>
      <c r="U37" s="34" t="n">
        <v>0.9124911254060799</v>
      </c>
      <c r="V37" s="34" t="n">
        <v>0.8592453440959734</v>
      </c>
      <c r="W37" s="33" t="n">
        <v>0.5913014479490812</v>
      </c>
      <c r="X37" s="33" t="n">
        <v>127.8330078125</v>
      </c>
      <c r="Y37" s="33" t="inlineStr">
        <is>
          <t>N</t>
        </is>
      </c>
      <c r="Z37" s="34" t="n"/>
      <c r="AA37" s="34" t="n"/>
      <c r="AB37" s="33" t="inlineStr">
        <is>
          <t>figures/init-default.png</t>
        </is>
      </c>
      <c r="AC37" s="33" t="inlineStr">
        <is>
          <t>bước 0: std sau ReLU 1 / ReLU 2 / logits = 0.1603 / 0.0678 / 0.0585; chạy trên Apple MPS: peak_mem_MB là mức cấp phát lớn nhất đo ở cuối mỗi epoch; grad_norm trước clip: TB các epoch 0.350, bước lớn nhất 0.888</t>
        </is>
      </c>
      <c r="AD37" s="35">
        <f>IF(P37="","",P37-LN(7))</f>
        <v>0.03712562555891097</v>
      </c>
      <c r="AE37" s="35">
        <f>IF(OR(T37="",S37=""),"",T37-S37)</f>
        <v>0.024664715351258915</v>
      </c>
      <c r="AF37" s="35">
        <f>IF(OR(V37="",Seeds!$C$8=""),"",V37-Seeds!$C$8)</f>
        <v>0.0052777385111005826</v>
      </c>
      <c r="AG37" s="35" t="str">
        <f>IF(OR(AF37="",Seeds!$C$10=""),"",IF(ABS(AF37)&gt;Seeds!$C$10,"Có","Không"))</f>
        <v>Không</v>
      </c>
    </row>
    <row r="38" ht="15" customHeight="1" s="20">
      <c r="A38" s="33" t="inlineStr">
        <is>
          <t>final-s1</t>
        </is>
      </c>
      <c r="B38" s="33" t="inlineStr">
        <is>
          <t>final</t>
        </is>
      </c>
      <c r="C38" s="33" t="inlineStr">
        <is>
          <t>Cấu hình cuối: optimizer=adam, lr=0.003, hidden=(512, 256), scheduler=cosine</t>
        </is>
      </c>
      <c r="D38" s="33" t="inlineStr">
        <is>
          <t>CE</t>
        </is>
      </c>
      <c r="E38" s="33" t="inlineStr">
        <is>
          <t>Adam</t>
        </is>
      </c>
      <c r="F38" s="33" t="n">
        <v>0.003</v>
      </c>
      <c r="G38" s="33" t="n">
        <v>0</v>
      </c>
      <c r="H38" s="33" t="n">
        <v>512</v>
      </c>
      <c r="I38" s="33" t="n">
        <v>20</v>
      </c>
      <c r="J38" s="33" t="inlineStr">
        <is>
          <t>512-256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1.918216604129913</v>
      </c>
      <c r="Q38" s="34" t="n">
        <v>0.1463731852043711</v>
      </c>
      <c r="R38" s="33" t="n">
        <v>20</v>
      </c>
      <c r="S38" s="34" t="n">
        <v>0.110346878422264</v>
      </c>
      <c r="T38" s="34" t="n">
        <v>0.1463731852043711</v>
      </c>
      <c r="U38" s="34" t="n">
        <v>0.9429659430735139</v>
      </c>
      <c r="V38" s="34" t="n">
        <v>0.9133321911065565</v>
      </c>
      <c r="W38" s="33" t="n">
        <v>1.018554497849982</v>
      </c>
      <c r="X38" s="33" t="n">
        <v>129.746337890625</v>
      </c>
      <c r="Y38" s="33" t="inlineStr">
        <is>
          <t>N</t>
        </is>
      </c>
      <c r="Z38" s="34" t="n">
        <v>0.9421357452045128</v>
      </c>
      <c r="AA38" s="34" t="n">
        <v>0.9146853559094384</v>
      </c>
      <c r="AB38" s="33" t="inlineStr">
        <is>
          <t>figures/final-s1.png</t>
        </is>
      </c>
      <c r="AC38" s="33" t="inlineStr">
        <is>
          <t>kết hợp nhiều yếu tố, mỗi yếu tố chọn bằng val; scheduler=cosine; chạy trên Apple MPS: peak_mem_MB là mức cấp phát lớn nhất đo ở cuối mỗi epoch; grad_norm trước clip: TB các epoch 0.528, bước lớn nhất 3.39</t>
        </is>
      </c>
      <c r="AD38" s="35">
        <f>IF(P38="","",P38-LN(7))</f>
        <v>-0.027693544925399882</v>
      </c>
      <c r="AE38" s="35">
        <f>IF(OR(T38="",S38=""),"",T38-S38)</f>
        <v>0.036026306782107165</v>
      </c>
      <c r="AF38" s="35">
        <f>IF(OR(V38="",Seeds!$C$8=""),"",V38-Seeds!$C$8)</f>
        <v>0.059364585521683666</v>
      </c>
      <c r="AG38" s="35" t="str">
        <f>IF(OR(AF38="",Seeds!$C$10=""),"",IF(ABS(AF38)&gt;Seeds!$C$10,"Có","Không"))</f>
        <v>Có</v>
      </c>
    </row>
    <row r="39" ht="15" customHeight="1" s="20">
      <c r="A39" s="33" t="inlineStr">
        <is>
          <t>final-s2</t>
        </is>
      </c>
      <c r="B39" s="33" t="inlineStr">
        <is>
          <t>final</t>
        </is>
      </c>
      <c r="C39" s="33" t="inlineStr">
        <is>
          <t>Cấu hình cuối: optimizer=adam, lr=0.003, hidden=(512, 256), scheduler=cosine</t>
        </is>
      </c>
      <c r="D39" s="33" t="inlineStr">
        <is>
          <t>CE</t>
        </is>
      </c>
      <c r="E39" s="33" t="inlineStr">
        <is>
          <t>Adam</t>
        </is>
      </c>
      <c r="F39" s="33" t="n">
        <v>0.003</v>
      </c>
      <c r="G39" s="33" t="n">
        <v>0</v>
      </c>
      <c r="H39" s="33" t="n">
        <v>512</v>
      </c>
      <c r="I39" s="33" t="n">
        <v>20</v>
      </c>
      <c r="J39" s="33" t="inlineStr">
        <is>
          <t>512-256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2</v>
      </c>
      <c r="P39" s="34" t="n">
        <v>2.651976769573858</v>
      </c>
      <c r="Q39" s="34" t="n">
        <v>0.1520080822464757</v>
      </c>
      <c r="R39" s="33" t="n">
        <v>20</v>
      </c>
      <c r="S39" s="34" t="n">
        <v>0.1164281654007573</v>
      </c>
      <c r="T39" s="34" t="n">
        <v>0.1520080822464757</v>
      </c>
      <c r="U39" s="34" t="n">
        <v>0.9414599513779824</v>
      </c>
      <c r="V39" s="34" t="n">
        <v>0.9085133654435275</v>
      </c>
      <c r="W39" s="33" t="n">
        <v>1.0246613312509</v>
      </c>
      <c r="X39" s="33" t="n">
        <v>129.746337890625</v>
      </c>
      <c r="Y39" s="33" t="inlineStr">
        <is>
          <t>N</t>
        </is>
      </c>
      <c r="Z39" s="34" t="n"/>
      <c r="AA39" s="34" t="n"/>
      <c r="AB39" s="33" t="inlineStr">
        <is>
          <t>figures/final-s2.png</t>
        </is>
      </c>
      <c r="AC39" s="33" t="inlineStr">
        <is>
          <t>kết hợp nhiều yếu tố, mỗi yếu tố chọn bằng val; scheduler=cosine; chạy trên Apple MPS: peak_mem_MB là mức cấp phát lớn nhất đo ở cuối mỗi epoch; grad_norm trước clip: TB các epoch 0.584, bước lớn nhất 4.77</t>
        </is>
      </c>
      <c r="AD39" s="35">
        <f>IF(P39="","",P39-LN(7))</f>
        <v>0.7060666205185451</v>
      </c>
      <c r="AE39" s="35">
        <f>IF(OR(T39="",S39=""),"",T39-S39)</f>
        <v>0.03557991684571844</v>
      </c>
      <c r="AF39" s="35">
        <f>IF(OR(V39="",Seeds!$C$8=""),"",V39-Seeds!$C$8)</f>
        <v>0.05454575985865462</v>
      </c>
      <c r="AG39" s="35" t="str">
        <f>IF(OR(AF39="",Seeds!$C$10=""),"",IF(ABS(AF39)&gt;Seeds!$C$10,"Có","Không"))</f>
        <v>Có</v>
      </c>
    </row>
    <row r="40" ht="15" customHeight="1" s="20">
      <c r="A40" s="33" t="inlineStr">
        <is>
          <t>final-s3</t>
        </is>
      </c>
      <c r="B40" s="33" t="inlineStr">
        <is>
          <t>final</t>
        </is>
      </c>
      <c r="C40" s="33" t="inlineStr">
        <is>
          <t>Cấu hình cuối: optimizer=adam, lr=0.003, hidden=(512, 256), scheduler=cosine</t>
        </is>
      </c>
      <c r="D40" s="33" t="inlineStr">
        <is>
          <t>CE</t>
        </is>
      </c>
      <c r="E40" s="33" t="inlineStr">
        <is>
          <t>Adam</t>
        </is>
      </c>
      <c r="F40" s="33" t="n">
        <v>0.003</v>
      </c>
      <c r="G40" s="33" t="n">
        <v>0</v>
      </c>
      <c r="H40" s="33" t="n">
        <v>512</v>
      </c>
      <c r="I40" s="33" t="n">
        <v>20</v>
      </c>
      <c r="J40" s="33" t="inlineStr">
        <is>
          <t>512-256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3</v>
      </c>
      <c r="P40" s="34" t="n">
        <v>2.788174368290269</v>
      </c>
      <c r="Q40" s="34" t="n">
        <v>0.1500641773224123</v>
      </c>
      <c r="R40" s="33" t="n">
        <v>20</v>
      </c>
      <c r="S40" s="34" t="n">
        <v>0.1142695571638472</v>
      </c>
      <c r="T40" s="34" t="n">
        <v>0.1500641773224123</v>
      </c>
      <c r="U40" s="34" t="n">
        <v>0.9418041780512467</v>
      </c>
      <c r="V40" s="34" t="n">
        <v>0.909151015935069</v>
      </c>
      <c r="W40" s="33" t="n">
        <v>1.020450479249484</v>
      </c>
      <c r="X40" s="33" t="n">
        <v>129.746337890625</v>
      </c>
      <c r="Y40" s="33" t="inlineStr">
        <is>
          <t>N</t>
        </is>
      </c>
      <c r="Z40" s="34" t="n"/>
      <c r="AA40" s="34" t="n"/>
      <c r="AB40" s="33" t="inlineStr">
        <is>
          <t>figures/final-s3.png</t>
        </is>
      </c>
      <c r="AC40" s="33" t="inlineStr">
        <is>
          <t>kết hợp nhiều yếu tố, mỗi yếu tố chọn bằng val; scheduler=cosine; chạy trên Apple MPS: peak_mem_MB là mức cấp phát lớn nhất đo ở cuối mỗi epoch; grad_norm trước clip: TB các epoch 0.548, bước lớn nhất 5.05</t>
        </is>
      </c>
      <c r="AD40" s="35">
        <f>IF(P40="","",P40-LN(7))</f>
        <v>0.8422642192349559</v>
      </c>
      <c r="AE40" s="35">
        <f>IF(OR(T40="",S40=""),"",T40-S40)</f>
        <v>0.035794620158565146</v>
      </c>
      <c r="AF40" s="35">
        <f>IF(OR(V40="",Seeds!$C$8=""),"",V40-Seeds!$C$8)</f>
        <v>0.05518341035019614</v>
      </c>
      <c r="AG40" s="35" t="str">
        <f>IF(OR(AF40="",Seeds!$C$10=""),"",IF(ABS(AF40)&gt;Seeds!$C$10,"Có","Không"))</f>
        <v>Có</v>
      </c>
    </row>
    <row r="41" ht="15" customHeight="1" s="20">
      <c r="A41" s="33" t="inlineStr">
        <is>
          <t>sched-cosine</t>
        </is>
      </c>
      <c r="B41" s="33" t="inlineStr">
        <is>
          <t>other</t>
        </is>
      </c>
      <c r="C41" s="33" t="inlineStr">
        <is>
          <t>lr giảm theo cosine về 0 trong 20 epoch (CosineAnnealingLR theo bước)</t>
        </is>
      </c>
      <c r="D41" s="33" t="inlineStr">
        <is>
          <t>CE</t>
        </is>
      </c>
      <c r="E41" s="33" t="inlineStr">
        <is>
          <t>SGD+momentum</t>
        </is>
      </c>
      <c r="F41" s="33" t="n">
        <v>0.3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2.269061489002227</v>
      </c>
      <c r="Q41" s="34" t="n">
        <v>0.165206996502204</v>
      </c>
      <c r="R41" s="33" t="n">
        <v>20</v>
      </c>
      <c r="S41" s="34" t="n">
        <v>0.1354694248735556</v>
      </c>
      <c r="T41" s="34" t="n">
        <v>0.165206996502204</v>
      </c>
      <c r="U41" s="34" t="n">
        <v>0.9354252275123168</v>
      </c>
      <c r="V41" s="34" t="n">
        <v>0.8915697547379519</v>
      </c>
      <c r="W41" s="33" t="n">
        <v>0.6253157041501254</v>
      </c>
      <c r="X41" s="33" t="n">
        <v>127.8330078125</v>
      </c>
      <c r="Y41" s="33" t="inlineStr">
        <is>
          <t>N</t>
        </is>
      </c>
      <c r="Z41" s="34" t="n"/>
      <c r="AA41" s="34" t="n"/>
      <c r="AB41" s="33" t="inlineStr">
        <is>
          <t>figures/sched-cosine.png</t>
        </is>
      </c>
      <c r="AC41" s="33" t="inlineStr">
        <is>
          <t>scheduler=cosine; chạy trên Apple MPS: peak_mem_MB là mức cấp phát lớn nhất đo ở cuối mỗi epoch; grad_norm trước clip: TB các epoch 0.373, bước lớn nhất 2.87</t>
        </is>
      </c>
      <c r="AD41" s="35">
        <f>IF(P41="","",P41-LN(7))</f>
        <v>0.3231513399469137</v>
      </c>
      <c r="AE41" s="35">
        <f>IF(OR(T41="",S41=""),"",T41-S41)</f>
        <v>0.02973757162864843</v>
      </c>
      <c r="AF41" s="35">
        <f>IF(OR(V41="",Seeds!$C$8=""),"",V41-Seeds!$C$8)</f>
        <v>0.03760214915307902</v>
      </c>
      <c r="AG41" s="35" t="str">
        <f>IF(OR(AF41="",Seeds!$C$10=""),"",IF(ABS(AF41)&gt;Seeds!$C$10,"Có","Không"))</f>
        <v>Có</v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 t="str">
        <f>IF(P42="","",P42-LN(7))</f>
        <v/>
      </c>
      <c r="AE42" s="35" t="str">
        <f>IF(OR(T42="",S42=""),"",T42-S42)</f>
        <v/>
      </c>
      <c r="AF42" s="35" t="str">
        <f>IF(OR(V42="",Seeds!$C$8=""),"",V42-Seeds!$C$8)</f>
        <v/>
      </c>
      <c r="AG42" s="35" t="str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 t="str">
        <f>IF(P43="","",P43-LN(7))</f>
        <v/>
      </c>
      <c r="AE43" s="35" t="str">
        <f>IF(OR(T43="",S43=""),"",T43-S43)</f>
        <v/>
      </c>
      <c r="AF43" s="35" t="str">
        <f>IF(OR(V43="",Seeds!$C$8=""),"",V43-Seeds!$C$8)</f>
        <v/>
      </c>
      <c r="AG43" s="35" t="str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 t="str">
        <f>IF(P44="","",P44-LN(7))</f>
        <v/>
      </c>
      <c r="AE44" s="35" t="str">
        <f>IF(OR(T44="",S44=""),"",T44-S44)</f>
        <v/>
      </c>
      <c r="AF44" s="35" t="str">
        <f>IF(OR(V44="",Seeds!$C$8=""),"",V44-Seeds!$C$8)</f>
        <v/>
      </c>
      <c r="AG44" s="35" t="str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 t="str">
        <f>IF(P45="","",P45-LN(7))</f>
        <v/>
      </c>
      <c r="AE45" s="35" t="str">
        <f>IF(OR(T45="",S45=""),"",T45-S45)</f>
        <v/>
      </c>
      <c r="AF45" s="35" t="str">
        <f>IF(OR(V45="",Seeds!$C$8=""),"",V45-Seeds!$C$8)</f>
        <v/>
      </c>
      <c r="AG45" s="35" t="str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 t="str">
        <f>IF(P46="","",P46-LN(7))</f>
        <v/>
      </c>
      <c r="AE46" s="35" t="str">
        <f>IF(OR(T46="",S46=""),"",T46-S46)</f>
        <v/>
      </c>
      <c r="AF46" s="35" t="str">
        <f>IF(OR(V46="",Seeds!$C$8=""),"",V46-Seeds!$C$8)</f>
        <v/>
      </c>
      <c r="AG46" s="35" t="str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 t="str">
        <f>IF(P47="","",P47-LN(7))</f>
        <v/>
      </c>
      <c r="AE47" s="35" t="str">
        <f>IF(OR(T47="",S47=""),"",T47-S47)</f>
        <v/>
      </c>
      <c r="AF47" s="35" t="str">
        <f>IF(OR(V47="",Seeds!$C$8=""),"",V47-Seeds!$C$8)</f>
        <v/>
      </c>
      <c r="AG47" s="35" t="str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 t="str">
        <f>IF(P48="","",P48-LN(7))</f>
        <v/>
      </c>
      <c r="AE48" s="35" t="str">
        <f>IF(OR(T48="",S48=""),"",T48-S48)</f>
        <v/>
      </c>
      <c r="AF48" s="35" t="str">
        <f>IF(OR(V48="",Seeds!$C$8=""),"",V48-Seeds!$C$8)</f>
        <v/>
      </c>
      <c r="AG48" s="35" t="str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 t="str">
        <f>IF(P49="","",P49-LN(7))</f>
        <v/>
      </c>
      <c r="AE49" s="35" t="str">
        <f>IF(OR(T49="",S49=""),"",T49-S49)</f>
        <v/>
      </c>
      <c r="AF49" s="35" t="str">
        <f>IF(OR(V49="",Seeds!$C$8=""),"",V49-Seeds!$C$8)</f>
        <v/>
      </c>
      <c r="AG49" s="35" t="str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 t="str">
        <f>IF(P50="","",P50-LN(7))</f>
        <v/>
      </c>
      <c r="AE50" s="35" t="str">
        <f>IF(OR(T50="",S50=""),"",T50-S50)</f>
        <v/>
      </c>
      <c r="AF50" s="35" t="str">
        <f>IF(OR(V50="",Seeds!$C$8=""),"",V50-Seeds!$C$8)</f>
        <v/>
      </c>
      <c r="AG50" s="35" t="str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 t="str">
        <f>IF(P51="","",P51-LN(7))</f>
        <v/>
      </c>
      <c r="AE51" s="35" t="str">
        <f>IF(OR(T51="",S51=""),"",T51-S51)</f>
        <v/>
      </c>
      <c r="AF51" s="35" t="str">
        <f>IF(OR(V51="",Seeds!$C$8=""),"",V51-Seeds!$C$8)</f>
        <v/>
      </c>
      <c r="AG51" s="35" t="str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 t="str">
        <f>IF(P52="","",P52-LN(7))</f>
        <v/>
      </c>
      <c r="AE52" s="35" t="str">
        <f>IF(OR(T52="",S52=""),"",T52-S52)</f>
        <v/>
      </c>
      <c r="AF52" s="35" t="str">
        <f>IF(OR(V52="",Seeds!$C$8=""),"",V52-Seeds!$C$8)</f>
        <v/>
      </c>
      <c r="AG52" s="35" t="str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 t="str">
        <f>IF(P53="","",P53-LN(7))</f>
        <v/>
      </c>
      <c r="AE53" s="35" t="str">
        <f>IF(OR(T53="",S53=""),"",T53-S53)</f>
        <v/>
      </c>
      <c r="AF53" s="35" t="str">
        <f>IF(OR(V53="",Seeds!$C$8=""),"",V53-Seeds!$C$8)</f>
        <v/>
      </c>
      <c r="AG53" s="35" t="str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 t="str">
        <f>IF(P54="","",P54-LN(7))</f>
        <v/>
      </c>
      <c r="AE54" s="35" t="str">
        <f>IF(OR(T54="",S54=""),"",T54-S54)</f>
        <v/>
      </c>
      <c r="AF54" s="35" t="str">
        <f>IF(OR(V54="",Seeds!$C$8=""),"",V54-Seeds!$C$8)</f>
        <v/>
      </c>
      <c r="AG54" s="35" t="str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 t="str">
        <f>IF(P55="","",P55-LN(7))</f>
        <v/>
      </c>
      <c r="AE55" s="35" t="str">
        <f>IF(OR(T55="",S55=""),"",T55-S55)</f>
        <v/>
      </c>
      <c r="AF55" s="35" t="str">
        <f>IF(OR(V55="",Seeds!$C$8=""),"",V55-Seeds!$C$8)</f>
        <v/>
      </c>
      <c r="AG55" s="35" t="str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 t="str">
        <f>IF(P56="","",P56-LN(7))</f>
        <v/>
      </c>
      <c r="AE56" s="35" t="str">
        <f>IF(OR(T56="",S56=""),"",T56-S56)</f>
        <v/>
      </c>
      <c r="AF56" s="35" t="str">
        <f>IF(OR(V56="",Seeds!$C$8=""),"",V56-Seeds!$C$8)</f>
        <v/>
      </c>
      <c r="AG56" s="35" t="str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 t="str">
        <f>IF(P57="","",P57-LN(7))</f>
        <v/>
      </c>
      <c r="AE57" s="35" t="str">
        <f>IF(OR(T57="",S57=""),"",T57-S57)</f>
        <v/>
      </c>
      <c r="AF57" s="35" t="str">
        <f>IF(OR(V57="",Seeds!$C$8=""),"",V57-Seeds!$C$8)</f>
        <v/>
      </c>
      <c r="AG57" s="35" t="str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 t="str">
        <f>IF(P58="","",P58-LN(7))</f>
        <v/>
      </c>
      <c r="AE58" s="35" t="str">
        <f>IF(OR(T58="",S58=""),"",T58-S58)</f>
        <v/>
      </c>
      <c r="AF58" s="35" t="str">
        <f>IF(OR(V58="",Seeds!$C$8=""),"",V58-Seeds!$C$8)</f>
        <v/>
      </c>
      <c r="AG58" s="35" t="str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 t="str">
        <f>IF(P59="","",P59-LN(7))</f>
        <v/>
      </c>
      <c r="AE59" s="35" t="str">
        <f>IF(OR(T59="",S59=""),"",T59-S59)</f>
        <v/>
      </c>
      <c r="AF59" s="35" t="str">
        <f>IF(OR(V59="",Seeds!$C$8=""),"",V59-Seeds!$C$8)</f>
        <v/>
      </c>
      <c r="AG59" s="35" t="str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 t="str">
        <f>IF(P60="","",P60-LN(7))</f>
        <v/>
      </c>
      <c r="AE60" s="35" t="str">
        <f>IF(OR(T60="",S60=""),"",T60-S60)</f>
        <v/>
      </c>
      <c r="AF60" s="35" t="str">
        <f>IF(OR(V60="",Seeds!$C$8=""),"",V60-Seeds!$C$8)</f>
        <v/>
      </c>
      <c r="AG60" s="35" t="str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 t="str">
        <f>IF(P61="","",P61-LN(7))</f>
        <v/>
      </c>
      <c r="AE61" s="35" t="str">
        <f>IF(OR(T61="",S61=""),"",T61-S61)</f>
        <v/>
      </c>
      <c r="AF61" s="35" t="str">
        <f>IF(OR(V61="",Seeds!$C$8=""),"",V61-Seeds!$C$8)</f>
        <v/>
      </c>
      <c r="AG61" s="35" t="str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>0.9094145995137798</v>
      </c>
      <c r="C2" s="35">
        <f>IF($A2="","",IFERROR(IF(INDEX(Experiments!$V$2:$V$61,MATCH($A2,Experiments!$A$2:$A$61,0))="","",INDEX(Experiments!$V$2:$V$61,MATCH($A2,Experiments!$A$2:$A$61,0))),""))</f>
        <v>0.8539324438598926</v>
      </c>
      <c r="D2" s="35">
        <f>IF($A2="","",IFERROR(IF(INDEX(Experiments!$Q$2:$Q$61,MATCH($A2,Experiments!$A$2:$A$61,0))="","",INDEX(Experiments!$Q$2:$Q$61,MATCH($A2,Experiments!$A$2:$A$61,0))),""))</f>
        <v>0.22759119732516714</v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>0.9160194488070394</v>
      </c>
      <c r="C3" s="35">
        <f>IF($A3="","",IFERROR(IF(INDEX(Experiments!$V$2:$V$61,MATCH($A3,Experiments!$A$2:$A$61,0))="","",INDEX(Experiments!$V$2:$V$61,MATCH($A3,Experiments!$A$2:$A$61,0))),""))</f>
        <v>0.8656613273644364</v>
      </c>
      <c r="D3" s="35">
        <f>IF($A3="","",IFERROR(IF(INDEX(Experiments!$Q$2:$Q$61,MATCH($A3,Experiments!$A$2:$A$61,0))="","",INDEX(Experiments!$Q$2:$Q$61,MATCH($A3,Experiments!$A$2:$A$61,0))),""))</f>
        <v>0.21334760867826874</v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>0.9144274004431918</v>
      </c>
      <c r="C4" s="35">
        <f>IF($A4="","",IFERROR(IF(INDEX(Experiments!$V$2:$V$61,MATCH($A4,Experiments!$A$2:$A$61,0))="","",INDEX(Experiments!$V$2:$V$61,MATCH($A4,Experiments!$A$2:$A$61,0))),""))</f>
        <v>0.8423090455302896</v>
      </c>
      <c r="D4" s="35">
        <f>IF($A4="","",IFERROR(IF(INDEX(Experiments!$Q$2:$Q$61,MATCH($A4,Experiments!$A$2:$A$61,0))="","",INDEX(Experiments!$Q$2:$Q$61,MATCH($A4,Experiments!$A$2:$A$61,0))),""))</f>
        <v>0.21994000367967892</v>
      </c>
    </row>
    <row r="5" ht="15" customHeight="1" s="20">
      <c r="A5" s="33" t="n"/>
      <c r="B5" s="35" t="str">
        <f>IF($A5="","",IFERROR(IF(INDEX(Experiments!$U$2:$U$61,MATCH($A5,Experiments!$A$2:$A$61,0))="","",INDEX(Experiments!$U$2:$U$61,MATCH($A5,Experiments!$A$2:$A$61,0))),""))</f>
        <v/>
      </c>
      <c r="C5" s="35" t="str">
        <f>IF($A5="","",IFERROR(IF(INDEX(Experiments!$V$2:$V$61,MATCH($A5,Experiments!$A$2:$A$61,0))="","",INDEX(Experiments!$V$2:$V$61,MATCH($A5,Experiments!$A$2:$A$61,0))),""))</f>
        <v/>
      </c>
      <c r="D5" s="35" t="str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 t="str">
        <f>IF($A6="","",IFERROR(IF(INDEX(Experiments!$U$2:$U$61,MATCH($A6,Experiments!$A$2:$A$61,0))="","",INDEX(Experiments!$U$2:$U$61,MATCH($A6,Experiments!$A$2:$A$61,0))),""))</f>
        <v/>
      </c>
      <c r="C6" s="35" t="str">
        <f>IF($A6="","",IFERROR(IF(INDEX(Experiments!$V$2:$V$61,MATCH($A6,Experiments!$A$2:$A$61,0))="","",INDEX(Experiments!$V$2:$V$61,MATCH($A6,Experiments!$A$2:$A$61,0))),""))</f>
        <v/>
      </c>
      <c r="D6" s="35" t="str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>0.9132871495880037</v>
      </c>
      <c r="C8" s="35">
        <f>IF(COUNT(C2:C6)=0,"",AVERAGE(C2:C6))</f>
        <v>0.8539676055848728</v>
      </c>
      <c r="D8" s="35">
        <f>IF(COUNT(D2:D6)=0,"",AVERAGE(D2:D6))</f>
        <v>0.2202929365610383</v>
      </c>
    </row>
    <row r="9" ht="15" customHeight="1" s="20">
      <c r="A9" s="36" t="inlineStr">
        <is>
          <t>std (mẫu)</t>
        </is>
      </c>
      <c r="B9" s="35">
        <f>IF(COUNT(B2:B6)&lt;2,"",STDEV(B2:B6))</f>
        <v>0.003446902603241948</v>
      </c>
      <c r="C9" s="35">
        <f>IF(COUNT(C2:C6)&lt;2,"",STDEV(C2:C6))</f>
        <v>0.011676180624482155</v>
      </c>
      <c r="D9" s="35">
        <f>IF(COUNT(D2:D6)&lt;2,"",STDEV(D2:D6))</f>
        <v>0.0071283501316624235</v>
      </c>
    </row>
    <row r="10" ht="15" customHeight="1" s="20">
      <c r="A10" s="36" t="inlineStr">
        <is>
          <t>2σ (ngưỡng nhiễu)</t>
        </is>
      </c>
      <c r="B10" s="35">
        <f>IF(B9="","",2*B9)</f>
        <v>0.006893805206483896</v>
      </c>
      <c r="C10" s="35">
        <f>IF(C9="","",2*C9)</f>
        <v>0.02335236124896431</v>
      </c>
      <c r="D10" s="35">
        <f>IF(D9="","",2*D9)</f>
        <v>0.014256700263324847</v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>3</v>
      </c>
      <c r="C2" s="37">
        <f>COUNTIFS(Experiments!$B$2:$B$61,A2,Experiments!$V$2:$V$61,"&lt;&gt;")</f>
        <v>3</v>
      </c>
      <c r="D2" s="35">
        <f>IF(C2=0,"",_xlfn.MAXIFS(Experiments!$V$2:$V$61,Experiments!$B$2:$B$61,A2))</f>
        <v>0.8656613273644364</v>
      </c>
      <c r="E2" s="35">
        <f>IF(C2=0,"",_xlfn.MINIFS(Experiments!$V$2:$V$61,Experiments!$B$2:$B$61,A2))</f>
        <v>0.8423090455302896</v>
      </c>
      <c r="F2" s="35">
        <f>IF(C2=0,"",_xlfn.MAXIFS(Experiments!$U$2:$U$61,Experiments!$B$2:$B$61,A2))</f>
        <v>0.9160194488070394</v>
      </c>
      <c r="G2" s="37" t="inlineStr">
        <is>
          <t>—</t>
        </is>
      </c>
      <c r="H2" s="38" t="inlineStr">
        <is>
          <t>3 seed: val macro-F1 0.8540 ± 0.0117; lr=0.3 chọn bằng val</t>
        </is>
      </c>
    </row>
    <row r="3" ht="15" customHeight="1" s="20">
      <c r="A3" s="31" t="inlineStr">
        <is>
          <t>loss</t>
        </is>
      </c>
      <c r="B3" s="37">
        <f>COUNTIF(Experiments!$B$2:$B$61,A3)</f>
        <v>1</v>
      </c>
      <c r="C3" s="37">
        <f>COUNTIFS(Experiments!$B$2:$B$61,A3,Experiments!$V$2:$V$61,"&lt;&gt;")</f>
        <v>1</v>
      </c>
      <c r="D3" s="35">
        <f>IF(C3=0,"",_xlfn.MAXIFS(Experiments!$V$2:$V$61,Experiments!$B$2:$B$61,A3))</f>
        <v>0.7838738630287966</v>
      </c>
      <c r="E3" s="35">
        <f>IF(C3=0,"",_xlfn.MINIFS(Experiments!$V$2:$V$61,Experiments!$B$2:$B$61,A3))</f>
        <v>0.7838738630287966</v>
      </c>
      <c r="F3" s="35">
        <f>IF(C3=0,"",_xlfn.MAXIFS(Experiments!$U$2:$U$61,Experiments!$B$2:$B$61,A3))</f>
        <v>0.8825326477485425</v>
      </c>
      <c r="G3" s="37" t="str">
        <f>IF(C3&gt;0,"Có","Chưa")</f>
        <v>Có</v>
      </c>
      <c r="H3" s="38" t="inlineStr">
        <is>
          <t>Tốt nhất: loss-mse (val macro-F1 0.7839, Δ -0.0701 so với TB baseline; vượt ngưỡng 2σ = 0.0234)</t>
        </is>
      </c>
    </row>
    <row r="4" ht="15" customHeight="1" s="20">
      <c r="A4" s="31" t="inlineStr">
        <is>
          <t>optimizer</t>
        </is>
      </c>
      <c r="B4" s="37">
        <f>COUNTIF(Experiments!$B$2:$B$61,A4)</f>
        <v>10</v>
      </c>
      <c r="C4" s="37">
        <f>COUNTIFS(Experiments!$B$2:$B$61,A4,Experiments!$V$2:$V$61,"&lt;&gt;")</f>
        <v>10</v>
      </c>
      <c r="D4" s="35">
        <f>IF(C4=0,"",_xlfn.MAXIFS(Experiments!$V$2:$V$61,Experiments!$B$2:$B$61,A4))</f>
        <v>0.8788975767972823</v>
      </c>
      <c r="E4" s="35">
        <f>IF(C4=0,"",_xlfn.MINIFS(Experiments!$V$2:$V$61,Experiments!$B$2:$B$61,A4))</f>
        <v>0.6646410178075417</v>
      </c>
      <c r="F4" s="35">
        <f>IF(C4=0,"",_xlfn.MAXIFS(Experiments!$U$2:$U$61,Experiments!$B$2:$B$61,A4))</f>
        <v>0.916094748391816</v>
      </c>
      <c r="G4" s="37" t="str">
        <f>IF(C4&gt;0,"Có","Chưa")</f>
        <v>Có</v>
      </c>
      <c r="H4" s="38" t="inlineStr">
        <is>
          <t>Tốt nhất: opt-adam-lr0.003 (val macro-F1 0.8789, Δ +0.0249 so với TB baseline; vượt ngưỡng 2σ = 0.0234)</t>
        </is>
      </c>
    </row>
    <row r="5" ht="15" customHeight="1" s="20">
      <c r="A5" s="31" t="inlineStr">
        <is>
          <t>hparam</t>
        </is>
      </c>
      <c r="B5" s="37">
        <f>COUNTIF(Experiments!$B$2:$B$61,A5)</f>
        <v>10</v>
      </c>
      <c r="C5" s="37">
        <f>COUNTIFS(Experiments!$B$2:$B$61,A5,Experiments!$V$2:$V$61,"&lt;&gt;")</f>
        <v>10</v>
      </c>
      <c r="D5" s="35">
        <f>IF(C5=0,"",_xlfn.MAXIFS(Experiments!$V$2:$V$61,Experiments!$B$2:$B$61,A5))</f>
        <v>0.8775726807359291</v>
      </c>
      <c r="E5" s="35">
        <f>IF(C5=0,"",_xlfn.MINIFS(Experiments!$V$2:$V$61,Experiments!$B$2:$B$61,A5))</f>
        <v>0.6223624927161839</v>
      </c>
      <c r="F5" s="35">
        <f>IF(C5=0,"",_xlfn.MAXIFS(Experiments!$U$2:$U$61,Experiments!$B$2:$B$61,A5))</f>
        <v>0.9240442331275145</v>
      </c>
      <c r="G5" s="37" t="str">
        <f>IF(C5&gt;0,"Có","Chưa")</f>
        <v>Có</v>
      </c>
      <c r="H5" s="38" t="inlineStr">
        <is>
          <t>Tốt nhất: hp-wide (val macro-F1 0.8776, Δ +0.0236 so với TB baseline; vượt ngưỡng 2σ = 0.0234)</t>
        </is>
      </c>
    </row>
    <row r="6" ht="15" customHeight="1" s="20">
      <c r="A6" s="31" t="inlineStr">
        <is>
          <t>dropout</t>
        </is>
      </c>
      <c r="B6" s="37">
        <f>COUNTIF(Experiments!$B$2:$B$61,A6)</f>
        <v>3</v>
      </c>
      <c r="C6" s="37">
        <f>COUNTIFS(Experiments!$B$2:$B$61,A6,Experiments!$V$2:$V$61,"&lt;&gt;")</f>
        <v>3</v>
      </c>
      <c r="D6" s="35">
        <f>IF(C6=0,"",_xlfn.MAXIFS(Experiments!$V$2:$V$61,Experiments!$B$2:$B$61,A6))</f>
        <v>0.8308791667859474</v>
      </c>
      <c r="E6" s="35">
        <f>IF(C6=0,"",_xlfn.MINIFS(Experiments!$V$2:$V$61,Experiments!$B$2:$B$61,A6))</f>
        <v>0.6574438624882176</v>
      </c>
      <c r="F6" s="35">
        <f>IF(C6=0,"",_xlfn.MAXIFS(Experiments!$U$2:$U$61,Experiments!$B$2:$B$61,A6))</f>
        <v>0.9015726856134765</v>
      </c>
      <c r="G6" s="37" t="str">
        <f>IF(C6&gt;0,"Có","Chưa")</f>
        <v>Có</v>
      </c>
      <c r="H6" s="38" t="inlineStr">
        <is>
          <t>Tốt nhất: drop-0.1 (val macro-F1 0.8309, Δ -0.0231 so với TB baseline; KHÔNG vượt ngưỡng 2σ = 0.0234)</t>
        </is>
      </c>
    </row>
    <row r="7" ht="15" customHeight="1" s="20">
      <c r="A7" s="31" t="inlineStr">
        <is>
          <t>clipping</t>
        </is>
      </c>
      <c r="B7" s="37">
        <f>COUNTIF(Experiments!$B$2:$B$61,A7)</f>
        <v>3</v>
      </c>
      <c r="C7" s="37">
        <f>COUNTIFS(Experiments!$B$2:$B$61,A7,Experiments!$V$2:$V$61,"&lt;&gt;")</f>
        <v>3</v>
      </c>
      <c r="D7" s="35">
        <f>IF(C7=0,"",_xlfn.MAXIFS(Experiments!$V$2:$V$61,Experiments!$B$2:$B$61,A7))</f>
        <v>0.8515530579929494</v>
      </c>
      <c r="E7" s="35">
        <f>IF(C7=0,"",_xlfn.MINIFS(Experiments!$V$2:$V$61,Experiments!$B$2:$B$61,A7))</f>
        <v>0.09364999018625454</v>
      </c>
      <c r="F7" s="35">
        <f>IF(C7=0,"",_xlfn.MAXIFS(Experiments!$U$2:$U$61,Experiments!$B$2:$B$61,A7))</f>
        <v>0.9047029969234741</v>
      </c>
      <c r="G7" s="37" t="str">
        <f>IF(C7&gt;0,"Có","Chưa")</f>
        <v>Có</v>
      </c>
      <c r="H7" s="38" t="inlineStr">
        <is>
          <t>Tốt nhất: clip-normal (val macro-F1 0.8516, Δ -0.0024 so với TB baseline; KHÔNG vượt ngưỡng 2σ = 0.0234)</t>
        </is>
      </c>
    </row>
    <row r="8" ht="15" customHeight="1" s="20">
      <c r="A8" s="31" t="inlineStr">
        <is>
          <t>amp</t>
        </is>
      </c>
      <c r="B8" s="37">
        <f>COUNTIF(Experiments!$B$2:$B$61,A8)</f>
        <v>2</v>
      </c>
      <c r="C8" s="37">
        <f>COUNTIFS(Experiments!$B$2:$B$61,A8,Experiments!$V$2:$V$61,"&lt;&gt;")</f>
        <v>2</v>
      </c>
      <c r="D8" s="35">
        <f>IF(C8=0,"",_xlfn.MAXIFS(Experiments!$V$2:$V$61,Experiments!$B$2:$B$61,A8))</f>
        <v>0.8580401617004787</v>
      </c>
      <c r="E8" s="35">
        <f>IF(C8=0,"",_xlfn.MINIFS(Experiments!$V$2:$V$61,Experiments!$B$2:$B$61,A8))</f>
        <v>0.8516377078787506</v>
      </c>
      <c r="F8" s="35">
        <f>IF(C8=0,"",_xlfn.MAXIFS(Experiments!$U$2:$U$61,Experiments!$B$2:$B$61,A8))</f>
        <v>0.912555667907317</v>
      </c>
      <c r="G8" s="37" t="str">
        <f>IF(C8&gt;0,"Có","Chưa")</f>
        <v>Có</v>
      </c>
      <c r="H8" s="38" t="inlineStr">
        <is>
          <t>Tốt nhất: amp-fp16 (val macro-F1 0.8580, Δ +0.0041 so với TB baseline; KHÔNG vượt ngưỡng 2σ = 0.0234)</t>
        </is>
      </c>
    </row>
    <row r="9" ht="15" customHeight="1" s="20">
      <c r="A9" s="31" t="inlineStr">
        <is>
          <t>init</t>
        </is>
      </c>
      <c r="B9" s="37">
        <f>COUNTIF(Experiments!$B$2:$B$61,A9)</f>
        <v>4</v>
      </c>
      <c r="C9" s="37">
        <f>COUNTIFS(Experiments!$B$2:$B$61,A9,Experiments!$V$2:$V$61,"&lt;&gt;")</f>
        <v>4</v>
      </c>
      <c r="D9" s="35">
        <f>IF(C9=0,"",_xlfn.MAXIFS(Experiments!$V$2:$V$61,Experiments!$B$2:$B$61,A9))</f>
        <v>0.8655667449495715</v>
      </c>
      <c r="E9" s="35">
        <f>IF(C9=0,"",_xlfn.MINIFS(Experiments!$V$2:$V$61,Experiments!$B$2:$B$61,A9))</f>
        <v>0.09364999018625454</v>
      </c>
      <c r="F9" s="35">
        <f>IF(C9=0,"",_xlfn.MAXIFS(Experiments!$U$2:$U$61,Experiments!$B$2:$B$61,A9))</f>
        <v>0.9162345904778296</v>
      </c>
      <c r="G9" s="37" t="str">
        <f>IF(C9&gt;0,"Có","Chưa")</f>
        <v>Có</v>
      </c>
      <c r="H9" s="38" t="inlineStr">
        <is>
          <t>Tốt nhất: init-normal (val macro-F1 0.8656, Δ +0.0116 so với TB baseline; KHÔNG vượt ngưỡng 2σ = 0.0234)</t>
        </is>
      </c>
    </row>
    <row r="10" ht="15" customHeight="1" s="20">
      <c r="A10" s="31" t="inlineStr">
        <is>
          <t>final</t>
        </is>
      </c>
      <c r="B10" s="37">
        <f>COUNTIF(Experiments!$B$2:$B$61,A10)</f>
        <v>3</v>
      </c>
      <c r="C10" s="37">
        <f>COUNTIFS(Experiments!$B$2:$B$61,A10,Experiments!$V$2:$V$61,"&lt;&gt;")</f>
        <v>3</v>
      </c>
      <c r="D10" s="35">
        <f>IF(C10=0,"",_xlfn.MAXIFS(Experiments!$V$2:$V$61,Experiments!$B$2:$B$61,A10))</f>
        <v>0.9133321911065565</v>
      </c>
      <c r="E10" s="35">
        <f>IF(C10=0,"",_xlfn.MINIFS(Experiments!$V$2:$V$61,Experiments!$B$2:$B$61,A10))</f>
        <v>0.9085133654435275</v>
      </c>
      <c r="F10" s="35">
        <f>IF(C10=0,"",_xlfn.MAXIFS(Experiments!$U$2:$U$61,Experiments!$B$2:$B$61,A10))</f>
        <v>0.9429659430735139</v>
      </c>
      <c r="G10" s="37" t="inlineStr">
        <is>
          <t>—</t>
        </is>
      </c>
      <c r="H10" s="38" t="inlineStr">
        <is>
          <t>Tốt nhất: final-s1 (val macro-F1 0.9133, Δ +0.0594 so với TB baseline; vượt ngưỡng 2σ = 0.0234)</t>
        </is>
      </c>
    </row>
    <row r="11" ht="15" customHeight="1" s="20">
      <c r="A11" s="31" t="inlineStr">
        <is>
          <t>other</t>
        </is>
      </c>
      <c r="B11" s="37">
        <f>COUNTIF(Experiments!$B$2:$B$61,A11)</f>
        <v>1</v>
      </c>
      <c r="C11" s="37">
        <f>COUNTIFS(Experiments!$B$2:$B$61,A11,Experiments!$V$2:$V$61,"&lt;&gt;")</f>
        <v>1</v>
      </c>
      <c r="D11" s="35">
        <f>IF(C11=0,"",_xlfn.MAXIFS(Experiments!$V$2:$V$61,Experiments!$B$2:$B$61,A11))</f>
        <v>0.8915697547379519</v>
      </c>
      <c r="E11" s="35">
        <f>IF(C11=0,"",_xlfn.MINIFS(Experiments!$V$2:$V$61,Experiments!$B$2:$B$61,A11))</f>
        <v>0.8915697547379519</v>
      </c>
      <c r="F11" s="35">
        <f>IF(C11=0,"",_xlfn.MAXIFS(Experiments!$U$2:$U$61,Experiments!$B$2:$B$61,A11))</f>
        <v>0.9354252275123168</v>
      </c>
      <c r="G11" s="37" t="inlineStr">
        <is>
          <t>—</t>
        </is>
      </c>
      <c r="H11" s="38" t="inlineStr">
        <is>
          <t>Tốt nhất: sched-cosine (val macro-F1 0.8916, Δ +0.0376 so với TB baseline; vượt ngưỡng 2σ = 0.0234)</t>
        </is>
      </c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>7</v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2026-10-03T05:25:10Z</dcterms:modified>
  <cp:revision>0</cp:revision>
</cp:coreProperties>
</file>